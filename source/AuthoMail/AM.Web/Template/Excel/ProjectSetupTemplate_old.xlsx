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11760"/>
  </bookViews>
  <sheets>
    <sheet name="Sheet2" sheetId="1" r:id="rId1"/>
    <sheet name="Sheet1" sheetId="4" r:id="rId2"/>
  </sheets>
  <calcPr calcId="145621" calcOnSave="0" concurrentCalc="0"/>
  <extLst>
    <ext uri="{140A7094-0E35-4892-8432-C4D2E57EDEB5}">
      <x15:workbookPr xmlns:x15="http://schemas.microsoft.com/office/spreadsheetml/2010/11/main" chartTrackingRefBase="1"/>
    </ext>
  </extLst>
</workbook>
</file>

<file path=xl/calcChain.xml><?xml version="1.0" encoding="utf-8"?>
<calcChain xmlns="http://schemas.openxmlformats.org/spreadsheetml/2006/main">
  <c r="A147" i="1" l="1"/>
  <c r="L139" i="1"/>
  <c r="F138" i="1"/>
  <c r="F137" i="1"/>
  <c r="D136" i="1"/>
  <c r="D135" i="1"/>
  <c r="A118" i="1"/>
  <c r="A111" i="1"/>
  <c r="A105" i="1"/>
  <c r="A99" i="1"/>
  <c r="A93" i="1"/>
  <c r="A87" i="1"/>
  <c r="A80" i="1"/>
  <c r="K72" i="1"/>
  <c r="H72" i="1"/>
  <c r="K69" i="1"/>
  <c r="H69" i="1"/>
  <c r="K64" i="1"/>
  <c r="H64" i="1"/>
  <c r="K62" i="1"/>
  <c r="H62" i="1"/>
  <c r="A58" i="1"/>
  <c r="H56" i="1"/>
  <c r="D59" i="1"/>
  <c r="K54" i="1"/>
  <c r="A52" i="1"/>
  <c r="C52" i="1"/>
  <c r="E52" i="1"/>
  <c r="H52" i="1"/>
  <c r="K52" i="1"/>
  <c r="A54" i="1"/>
  <c r="F54" i="1"/>
  <c r="H50" i="1"/>
  <c r="A45" i="1"/>
  <c r="C45" i="1"/>
  <c r="H45" i="1"/>
  <c r="D48" i="1"/>
  <c r="K41" i="1"/>
  <c r="H41" i="1"/>
  <c r="E41" i="1"/>
  <c r="C41" i="1"/>
  <c r="A41" i="1"/>
  <c r="H39" i="1"/>
  <c r="E39" i="1"/>
  <c r="C39" i="1"/>
  <c r="A39" i="1"/>
  <c r="K37" i="1"/>
  <c r="H37" i="1"/>
  <c r="E37" i="1"/>
  <c r="C37" i="1"/>
  <c r="A37" i="1"/>
  <c r="C33" i="1"/>
  <c r="A33" i="1"/>
  <c r="K32" i="1"/>
  <c r="H32" i="1"/>
  <c r="E32" i="1"/>
  <c r="C32" i="1"/>
  <c r="A32" i="1"/>
  <c r="L28" i="1"/>
  <c r="D28" i="1"/>
  <c r="L27" i="1"/>
  <c r="D27" i="1"/>
  <c r="C24" i="1"/>
  <c r="E24" i="1"/>
  <c r="H24" i="1"/>
  <c r="A25" i="1"/>
  <c r="K22" i="1"/>
  <c r="F21" i="1"/>
  <c r="K18" i="1"/>
  <c r="H18" i="1"/>
  <c r="E18" i="1"/>
  <c r="C18" i="1"/>
  <c r="B16" i="1"/>
  <c r="K14" i="1"/>
  <c r="H14" i="1"/>
  <c r="K12" i="1"/>
  <c r="H12" i="1"/>
  <c r="E12" i="1"/>
  <c r="C12" i="1"/>
  <c r="A9" i="1"/>
  <c r="L7" i="1"/>
  <c r="C7" i="1"/>
  <c r="L6" i="1"/>
  <c r="C6" i="1"/>
  <c r="C58" i="1"/>
  <c r="C54" i="1"/>
  <c r="A47" i="1"/>
  <c r="K24" i="1"/>
</calcChain>
</file>

<file path=xl/sharedStrings.xml><?xml version="1.0" encoding="utf-8"?>
<sst xmlns="http://schemas.openxmlformats.org/spreadsheetml/2006/main" count="110" uniqueCount="101">
  <si>
    <t>New Project Request/Pricing Form</t>
  </si>
  <si>
    <t>Name of Project</t>
  </si>
  <si>
    <t xml:space="preserve">  Submit Date: </t>
  </si>
  <si>
    <t>Submitter</t>
  </si>
  <si>
    <t xml:space="preserve"> Project Start Date: </t>
  </si>
  <si>
    <t>Project Description:</t>
  </si>
  <si>
    <t>A.  File Transmission &amp; Types</t>
  </si>
  <si>
    <t>Files transmitted via:</t>
  </si>
  <si>
    <t>Client FTP</t>
  </si>
  <si>
    <t>CoreLogic FTP</t>
  </si>
  <si>
    <t xml:space="preserve"> CL Pull from Client System Imaging</t>
  </si>
  <si>
    <t xml:space="preserve"> Other (Explain below)</t>
  </si>
  <si>
    <t>Mortgage Cadence integration</t>
  </si>
  <si>
    <t>How many times will Corelogic be sweeping the SFTP</t>
  </si>
  <si>
    <t>2X</t>
  </si>
  <si>
    <t>4X</t>
  </si>
  <si>
    <t xml:space="preserve"> What times of day (EST) will the sweeps take place?</t>
  </si>
  <si>
    <t>Type of Files</t>
  </si>
  <si>
    <t xml:space="preserve"> TIFF</t>
  </si>
  <si>
    <t>B.  File Receipt &amp; Service Levels</t>
  </si>
  <si>
    <t>What time will files be transmitted to CoreLogic?</t>
  </si>
  <si>
    <t>Please specify time of day here:</t>
  </si>
  <si>
    <t>Service Level</t>
  </si>
  <si>
    <t>Same Day</t>
  </si>
  <si>
    <t>24 Hours</t>
  </si>
  <si>
    <t>48 Hours</t>
  </si>
  <si>
    <t>Est. pages per Package:</t>
  </si>
  <si>
    <t>Estimated # of Packages Per Month:</t>
  </si>
  <si>
    <t>Est. # of Packages Per Day:</t>
  </si>
  <si>
    <t>Estimated # of Packages Annually:</t>
  </si>
  <si>
    <t>C.  Daily Print Schedule</t>
  </si>
  <si>
    <t>Monday</t>
  </si>
  <si>
    <t>Tuesday</t>
  </si>
  <si>
    <t>Wednesday</t>
  </si>
  <si>
    <t>Thursday</t>
  </si>
  <si>
    <t>Friday</t>
  </si>
  <si>
    <t>Saturday</t>
  </si>
  <si>
    <t>Sunday</t>
  </si>
  <si>
    <t>D.  Project Requirements:  Paper &amp; Print  (Check all that apply)</t>
  </si>
  <si>
    <t>Insert Required</t>
  </si>
  <si>
    <t>Print 2-sided</t>
  </si>
  <si>
    <t>E.  How are packages to be sent for the customer:</t>
  </si>
  <si>
    <t>Certified USPS</t>
  </si>
  <si>
    <t>Other (please specify below)</t>
  </si>
  <si>
    <t>First Mortgage will sent through Federal Express and Equity line of credit will go out in USPS</t>
  </si>
  <si>
    <t>F.  Envelopes</t>
  </si>
  <si>
    <t xml:space="preserve">If mailed, what type of envelope is required? </t>
  </si>
  <si>
    <t xml:space="preserve"> Sample envelope(s) attached?</t>
  </si>
  <si>
    <r>
      <t xml:space="preserve">Does it need a </t>
    </r>
    <r>
      <rPr>
        <b/>
        <sz val="9"/>
        <color rgb="FFFF0000"/>
        <rFont val="Calibri"/>
        <family val="2"/>
        <scheme val="minor"/>
      </rPr>
      <t>Business Reply Mail</t>
    </r>
    <r>
      <rPr>
        <b/>
        <sz val="9"/>
        <color theme="1"/>
        <rFont val="Calibri"/>
        <family val="2"/>
        <scheme val="minor"/>
      </rPr>
      <t xml:space="preserve"> envelope included?</t>
    </r>
  </si>
  <si>
    <t xml:space="preserve"> No</t>
  </si>
  <si>
    <t xml:space="preserve"> Other Business Reply Mail? Specify below:</t>
  </si>
  <si>
    <t>Will customer supply their  envelopes?</t>
  </si>
  <si>
    <t xml:space="preserve"> Yes</t>
  </si>
  <si>
    <t>Will customer provide artwork for the envelope(s)?</t>
  </si>
  <si>
    <t>Note:  If custom envelope is required, please allow 3-4 weeks for delivery</t>
  </si>
  <si>
    <t>G.  Postage *</t>
  </si>
  <si>
    <t>Do  you have an active general permit number  if USPS is the preferred shipping method</t>
  </si>
  <si>
    <t>H.  Scanning / AuthoMail</t>
  </si>
  <si>
    <t>Do these packages need to be scanned to AuthoMail?</t>
  </si>
  <si>
    <t>Please use this area to expand on "Other" requirements or to provide additional detailed information.</t>
  </si>
  <si>
    <t>Files transmitted (Other):</t>
  </si>
  <si>
    <t>Types of Files (Other):</t>
  </si>
  <si>
    <t>Paper &amp; Print (Additional Details):</t>
  </si>
  <si>
    <t>Shipping / Mailing  (Additional Details):</t>
  </si>
  <si>
    <t>Mailing Envelope  (Additional Details):</t>
  </si>
  <si>
    <t>Business Reply Mail Envelope  (Additional Details):</t>
  </si>
  <si>
    <t>List of  Doc Types  and how many pages will each file contain</t>
  </si>
  <si>
    <t xml:space="preserve">Provide pdf sample (print ready format) of each document that CoreLogic will be printing and shipping and </t>
  </si>
  <si>
    <t xml:space="preserve"> samples of envelopes if any. </t>
  </si>
  <si>
    <t xml:space="preserve">Will Inserts be requried ? </t>
  </si>
  <si>
    <t>Are booklets required?</t>
  </si>
  <si>
    <t>Are Business Reply Mail envelopes required?</t>
  </si>
  <si>
    <t>Are any other materials required?</t>
  </si>
  <si>
    <t>Will any inserted materials need to be ordered by Corelogic or provided by client?</t>
  </si>
  <si>
    <t>Additional information:</t>
  </si>
  <si>
    <t>HP</t>
  </si>
  <si>
    <t>Federal Express</t>
  </si>
  <si>
    <t>6 x 9.5</t>
  </si>
  <si>
    <t>#9 Business Reply Mail</t>
  </si>
  <si>
    <t>Legal Only</t>
  </si>
  <si>
    <t>Letter Only</t>
  </si>
  <si>
    <t>Stapled</t>
  </si>
  <si>
    <t>Not Stapled</t>
  </si>
  <si>
    <t>24# Paper</t>
  </si>
  <si>
    <t>Mixed Media</t>
  </si>
  <si>
    <t>White</t>
  </si>
  <si>
    <t>Print 1-sided</t>
  </si>
  <si>
    <t>Color</t>
  </si>
  <si>
    <t>B&amp;W</t>
  </si>
  <si>
    <t>B&amp;W &amp; Color</t>
  </si>
  <si>
    <t>Color (please specify)</t>
  </si>
  <si>
    <t>Mailed-USPS</t>
  </si>
  <si>
    <t xml:space="preserve"># 10 </t>
  </si>
  <si>
    <t>9 x 12</t>
  </si>
  <si>
    <t>10 x 12</t>
  </si>
  <si>
    <t>Standard Window</t>
  </si>
  <si>
    <t>10 x 13</t>
  </si>
  <si>
    <t>Custom Window(s)</t>
  </si>
  <si>
    <t>Other (Specify):</t>
  </si>
  <si>
    <t>No</t>
  </si>
  <si>
    <t>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</si>
</sst>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12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u/>
      <sz val="9"/>
      <color rgb="FFFF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 applyAlignment="0"/>
  </cellStyleXfs>
  <cellXfs count="69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2" fillId="0" borderId="0" xfId="0" applyFont="1" applyBorder="1" applyAlignment="1"/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 vertical="center"/>
    </xf>
    <xf numFmtId="0" fontId="2" fillId="0" borderId="0" xfId="0" applyFont="1" applyBorder="1"/>
    <xf numFmtId="0" fontId="1" fillId="2" borderId="0" xfId="0" applyFont="1" applyFill="1"/>
    <xf numFmtId="0" fontId="2" fillId="2" borderId="0" xfId="0" applyFont="1" applyFill="1"/>
    <xf numFmtId="0" fontId="5" fillId="0" borderId="4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3" fillId="0" borderId="0" xfId="0" applyFont="1" applyAlignment="1"/>
    <xf numFmtId="0" fontId="5" fillId="0" borderId="0" xfId="0" applyFont="1" applyBorder="1" applyAlignment="1">
      <alignment horizontal="left" vertical="center"/>
    </xf>
    <xf numFmtId="0" fontId="2" fillId="0" borderId="1" xfId="0" applyFont="1" applyBorder="1"/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0" xfId="0" applyFont="1" applyFill="1" applyAlignment="1">
      <alignment wrapText="1"/>
    </xf>
    <xf numFmtId="0" fontId="1" fillId="0" borderId="0" xfId="0" applyFont="1" applyBorder="1" applyAlignment="1"/>
    <xf numFmtId="0" fontId="3" fillId="0" borderId="0" xfId="0" applyFont="1"/>
    <xf numFmtId="3" fontId="5" fillId="0" borderId="0" xfId="0" applyNumberFormat="1" applyFon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1" xfId="0" applyFont="1" applyBorder="1"/>
    <xf numFmtId="0" fontId="7" fillId="0" borderId="1" xfId="0" applyFont="1" applyBorder="1"/>
    <xf numFmtId="0" fontId="8" fillId="0" borderId="0" xfId="0" applyFont="1" applyBorder="1"/>
    <xf numFmtId="0" fontId="5" fillId="0" borderId="1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2" fillId="0" borderId="4" xfId="0" applyFont="1" applyBorder="1"/>
    <xf numFmtId="0" fontId="5" fillId="0" borderId="1" xfId="0" applyNumberFormat="1" applyFont="1" applyBorder="1" applyAlignment="1">
      <alignment horizontal="center" vertical="center"/>
    </xf>
    <xf numFmtId="0" fontId="2" fillId="3" borderId="0" xfId="0" applyFont="1" applyFill="1"/>
    <xf numFmtId="0" fontId="1" fillId="3" borderId="0" xfId="0" applyFont="1" applyFill="1" applyBorder="1" applyAlignment="1">
      <alignment wrapText="1"/>
    </xf>
    <xf numFmtId="0" fontId="1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1" fillId="3" borderId="0" xfId="0" applyFont="1" applyFill="1" applyBorder="1"/>
    <xf numFmtId="0" fontId="2" fillId="3" borderId="0" xfId="0" applyFont="1" applyFill="1" applyBorder="1"/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6" fillId="0" borderId="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4"/>
  <sheetViews>
    <sheetView showGridLines="0" tabSelected="1" topLeftCell="A46" zoomScaleNormal="100" zoomScaleSheetLayoutView="90" workbookViewId="0">
      <selection activeCell="P10" sqref="P10"/>
    </sheetView>
  </sheetViews>
  <sheetFormatPr defaultRowHeight="12" x14ac:dyDescent="0.2"/>
  <cols>
    <col min="1" max="1" width="3.28515625" style="2" customWidth="1"/>
    <col min="2" max="2" width="17.140625" style="2" customWidth="1"/>
    <col min="3" max="3" width="3.7109375" style="2" customWidth="1"/>
    <col min="4" max="4" width="14" style="2" customWidth="1"/>
    <col min="5" max="5" width="3.140625" style="2" customWidth="1"/>
    <col min="6" max="6" width="9.140625" style="2"/>
    <col min="7" max="7" width="3.42578125" style="2" customWidth="1"/>
    <col min="8" max="8" width="3.28515625" style="2" customWidth="1"/>
    <col min="9" max="9" width="16" style="2" customWidth="1"/>
    <col min="10" max="10" width="1" style="2" customWidth="1"/>
    <col min="11" max="11" width="3.28515625" style="2" customWidth="1"/>
    <col min="12" max="12" width="18.5703125" style="2" customWidth="1"/>
    <col min="13" max="16384" width="9.140625" style="2"/>
  </cols>
  <sheetData>
    <row r="1" spans="1:13" ht="17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17.25" customHeight="1" x14ac:dyDescent="0.2">
      <c r="A2" s="64" t="s">
        <v>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3" ht="3.75" customHeight="1" x14ac:dyDescent="0.2"/>
    <row r="4" spans="1:13" ht="3.75" customHeight="1" x14ac:dyDescent="0.2"/>
    <row r="5" spans="1:13" ht="3.75" customHeight="1" x14ac:dyDescent="0.2"/>
    <row r="6" spans="1:13" x14ac:dyDescent="0.2">
      <c r="A6" s="3" t="s">
        <v>1</v>
      </c>
      <c r="C6" s="65" t="str">
        <f>IF(Sheet1!B3=0,"",Sheet1!B3)</f>
        <v/>
      </c>
      <c r="D6" s="65"/>
      <c r="E6" s="65"/>
      <c r="F6" s="65"/>
      <c r="G6" s="65"/>
      <c r="H6" s="4"/>
      <c r="I6" s="66" t="s">
        <v>2</v>
      </c>
      <c r="J6" s="66"/>
      <c r="K6" s="66"/>
      <c r="L6" s="5" t="str">
        <f>IF(Sheet1!B4=0,"",Sheet1!B4)</f>
        <v/>
      </c>
    </row>
    <row r="7" spans="1:13" x14ac:dyDescent="0.2">
      <c r="A7" s="3" t="s">
        <v>3</v>
      </c>
      <c r="C7" s="67" t="str">
        <f>IF(Sheet1!B5=0,"",Sheet1!B5)</f>
        <v/>
      </c>
      <c r="D7" s="67"/>
      <c r="E7" s="67"/>
      <c r="F7" s="67"/>
      <c r="G7" s="6"/>
      <c r="I7" s="68" t="s">
        <v>4</v>
      </c>
      <c r="J7" s="68"/>
      <c r="K7" s="68"/>
      <c r="L7" s="7" t="str">
        <f>IF(Sheet1!B7=0,"",Sheet1!B7)</f>
        <v/>
      </c>
    </row>
    <row r="8" spans="1:13" ht="16.5" customHeight="1" x14ac:dyDescent="0.2">
      <c r="A8" s="61" t="s">
        <v>5</v>
      </c>
      <c r="B8" s="61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3" ht="16.5" customHeight="1" x14ac:dyDescent="0.2">
      <c r="A9" s="52" t="str">
        <f>IF(Sheet1!B8=0,"",Sheet1!B8)</f>
        <v/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</row>
    <row r="10" spans="1:13" ht="16.5" customHeight="1" x14ac:dyDescent="0.2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</row>
    <row r="11" spans="1:13" x14ac:dyDescent="0.2">
      <c r="A11" s="9" t="s">
        <v>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3" ht="27.75" customHeight="1" x14ac:dyDescent="0.2">
      <c r="A12" s="56" t="s">
        <v>7</v>
      </c>
      <c r="B12" s="57"/>
      <c r="C12" s="11" t="str">
        <f>IF(D12=Sheet1!B9,"x","")</f>
        <v/>
      </c>
      <c r="D12" s="3" t="s">
        <v>8</v>
      </c>
      <c r="E12" s="11" t="str">
        <f>IF(F12=Sheet1!B9,"x","")</f>
        <v/>
      </c>
      <c r="F12" s="12" t="s">
        <v>9</v>
      </c>
      <c r="G12" s="3"/>
      <c r="H12" s="11" t="str">
        <f>IF(I12=Sheet1!B9,"x","")</f>
        <v/>
      </c>
      <c r="I12" s="12" t="s">
        <v>10</v>
      </c>
      <c r="K12" s="11" t="str">
        <f>IF(L12=Sheet1!B9,"x","")</f>
        <v/>
      </c>
      <c r="L12" s="12" t="s">
        <v>11</v>
      </c>
      <c r="M12" s="13"/>
    </row>
    <row r="13" spans="1:13" ht="27.75" customHeight="1" x14ac:dyDescent="0.2">
      <c r="A13" s="14"/>
      <c r="B13" s="14"/>
      <c r="C13" s="15"/>
      <c r="D13" s="3"/>
      <c r="E13" s="15"/>
      <c r="F13" s="12"/>
      <c r="G13" s="3"/>
      <c r="H13" s="15"/>
      <c r="I13" s="12"/>
      <c r="K13" s="16"/>
      <c r="L13" s="17" t="s">
        <v>12</v>
      </c>
      <c r="M13" s="13"/>
    </row>
    <row r="14" spans="1:13" ht="27.75" customHeight="1" x14ac:dyDescent="0.2">
      <c r="A14" s="18"/>
      <c r="B14" s="44" t="s">
        <v>13</v>
      </c>
      <c r="C14" s="45"/>
      <c r="D14" s="44"/>
      <c r="E14" s="46"/>
      <c r="F14" s="43"/>
      <c r="G14" s="19"/>
      <c r="H14" s="11" t="str">
        <f>IF(I14=Sheet1!B10,"x","")</f>
        <v/>
      </c>
      <c r="I14" s="20" t="s">
        <v>14</v>
      </c>
      <c r="J14" s="8"/>
      <c r="K14" s="11" t="str">
        <f>IF(L14=Sheet1!B10,"x","")</f>
        <v/>
      </c>
      <c r="L14" s="20" t="s">
        <v>15</v>
      </c>
      <c r="M14" s="21"/>
    </row>
    <row r="15" spans="1:13" ht="27.75" customHeight="1" x14ac:dyDescent="0.2">
      <c r="A15" s="18"/>
      <c r="B15" s="47" t="s">
        <v>16</v>
      </c>
      <c r="C15" s="47"/>
      <c r="D15" s="47"/>
      <c r="E15" s="47"/>
      <c r="F15" s="47"/>
      <c r="G15" s="19"/>
      <c r="H15" s="22"/>
      <c r="I15" s="20"/>
      <c r="J15" s="8"/>
      <c r="K15" s="15"/>
      <c r="L15" s="20"/>
      <c r="M15" s="13"/>
    </row>
    <row r="16" spans="1:13" ht="15.75" customHeight="1" x14ac:dyDescent="0.2">
      <c r="A16" s="8"/>
      <c r="B16" s="23" t="str">
        <f>IF(Sheet1!B11=0,"",Sheet1!B11)</f>
        <v/>
      </c>
      <c r="C16" s="23"/>
      <c r="D16" s="23"/>
      <c r="E16" s="23"/>
      <c r="F16" s="23"/>
      <c r="G16" s="23"/>
      <c r="H16" s="8"/>
      <c r="I16" s="23"/>
      <c r="J16" s="23"/>
      <c r="K16" s="24"/>
      <c r="L16" s="25"/>
      <c r="M16" s="13"/>
    </row>
    <row r="17" spans="1:13" ht="3.75" customHeight="1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24"/>
      <c r="L17" s="24"/>
      <c r="M17" s="13"/>
    </row>
    <row r="18" spans="1:13" ht="18" customHeight="1" x14ac:dyDescent="0.2">
      <c r="A18" s="56" t="s">
        <v>17</v>
      </c>
      <c r="B18" s="57"/>
      <c r="C18" s="11" t="str">
        <f>IF(D18=Sheet1!B12,"x","")</f>
        <v/>
      </c>
      <c r="D18" s="3" t="s">
        <v>100</v>
      </c>
      <c r="E18" s="11" t="str">
        <f>IF(F18=Sheet1!B12,"x","")</f>
        <v/>
      </c>
      <c r="F18" s="3" t="s">
        <v>75</v>
      </c>
      <c r="G18" s="3"/>
      <c r="H18" s="11" t="str">
        <f>IF(I18=Sheet1!B12,"x","")</f>
        <v/>
      </c>
      <c r="I18" s="3" t="s">
        <v>18</v>
      </c>
      <c r="K18" s="11" t="str">
        <f>IF(L18=Sheet1!B12,"x","")</f>
        <v/>
      </c>
      <c r="L18" s="12" t="s">
        <v>11</v>
      </c>
      <c r="M18" s="13"/>
    </row>
    <row r="19" spans="1:13" ht="16.5" customHeight="1" x14ac:dyDescent="0.2">
      <c r="A19" s="8"/>
      <c r="B19" s="23"/>
      <c r="C19" s="23"/>
      <c r="D19" s="23"/>
      <c r="E19" s="23"/>
      <c r="F19" s="23"/>
      <c r="G19" s="23"/>
      <c r="H19" s="23"/>
      <c r="I19" s="23"/>
      <c r="J19" s="23"/>
      <c r="K19" s="25"/>
      <c r="L19" s="25"/>
      <c r="M19" s="13"/>
    </row>
    <row r="20" spans="1:13" x14ac:dyDescent="0.2">
      <c r="A20" s="9" t="s">
        <v>19</v>
      </c>
      <c r="B20" s="10"/>
      <c r="C20" s="10"/>
      <c r="D20" s="10"/>
      <c r="E20" s="10"/>
      <c r="F20" s="10"/>
      <c r="G20" s="10"/>
      <c r="H20" s="10"/>
      <c r="I20" s="10"/>
      <c r="J20" s="10"/>
      <c r="K20" s="26"/>
      <c r="L20" s="26"/>
      <c r="M20" s="13"/>
    </row>
    <row r="21" spans="1:13" ht="18" customHeight="1" x14ac:dyDescent="0.2">
      <c r="A21" s="27" t="s">
        <v>20</v>
      </c>
      <c r="B21" s="27"/>
      <c r="C21" s="19"/>
      <c r="D21" s="3"/>
      <c r="F21" s="40">
        <f>Sheet1!B13</f>
        <v>0</v>
      </c>
      <c r="G21" s="3"/>
      <c r="H21" s="15"/>
      <c r="I21" s="3"/>
      <c r="K21" s="15"/>
      <c r="L21" s="12"/>
      <c r="M21" s="13"/>
    </row>
    <row r="22" spans="1:13" ht="16.5" customHeight="1" x14ac:dyDescent="0.2">
      <c r="C22" s="8"/>
      <c r="F22" s="58" t="s">
        <v>21</v>
      </c>
      <c r="G22" s="58"/>
      <c r="H22" s="58"/>
      <c r="I22" s="58"/>
      <c r="J22" s="58"/>
      <c r="K22" s="59" t="str">
        <f>IF(Sheet1!B13=0,"",Sheet1!B13)</f>
        <v/>
      </c>
      <c r="L22" s="59"/>
      <c r="M22" s="13"/>
    </row>
    <row r="23" spans="1:13" ht="3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24"/>
      <c r="L23" s="24"/>
      <c r="M23" s="13"/>
    </row>
    <row r="24" spans="1:13" ht="18" customHeight="1" x14ac:dyDescent="0.2">
      <c r="A24" s="56" t="s">
        <v>22</v>
      </c>
      <c r="B24" s="57" t="s">
        <v>22</v>
      </c>
      <c r="C24" s="11" t="str">
        <f>IF(D24=Sheet1!B14,"x","")</f>
        <v/>
      </c>
      <c r="D24" s="3" t="s">
        <v>23</v>
      </c>
      <c r="E24" s="11" t="str">
        <f>IF(F24=Sheet1!B14,"x","")</f>
        <v/>
      </c>
      <c r="F24" s="3" t="s">
        <v>24</v>
      </c>
      <c r="G24" s="3"/>
      <c r="H24" s="11" t="str">
        <f>IF(I24=Sheet1!B14,"x","")</f>
        <v/>
      </c>
      <c r="I24" s="3" t="s">
        <v>25</v>
      </c>
      <c r="K24" s="11" t="str">
        <f>IF(OR(C24="x",E24="x",H24="x"),"","x")</f>
        <v>x</v>
      </c>
      <c r="L24" s="12" t="s">
        <v>11</v>
      </c>
      <c r="M24" s="13"/>
    </row>
    <row r="25" spans="1:13" ht="16.5" customHeight="1" x14ac:dyDescent="0.2">
      <c r="A25" s="60" t="str">
        <f>IF(IF(OR(C24="x",E24="x",H24="x"),"",Sheet1!B14)=0,"",Sheet1!B14)</f>
        <v/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</row>
    <row r="26" spans="1:13" ht="4.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3" ht="15" customHeight="1" x14ac:dyDescent="0.2">
      <c r="A27" s="61" t="s">
        <v>26</v>
      </c>
      <c r="B27" s="61"/>
      <c r="C27" s="61"/>
      <c r="D27" s="41">
        <f>Sheet1!B15</f>
        <v>0</v>
      </c>
      <c r="E27" s="8"/>
      <c r="F27" s="18" t="s">
        <v>27</v>
      </c>
      <c r="G27" s="8"/>
      <c r="H27" s="8"/>
      <c r="I27" s="6"/>
      <c r="J27" s="8"/>
      <c r="K27" s="8"/>
      <c r="L27" s="41">
        <f>Sheet1!B17</f>
        <v>0</v>
      </c>
      <c r="M27" s="28"/>
    </row>
    <row r="28" spans="1:13" ht="15" customHeight="1" x14ac:dyDescent="0.2">
      <c r="A28" s="61" t="s">
        <v>28</v>
      </c>
      <c r="B28" s="61"/>
      <c r="C28" s="61"/>
      <c r="D28" s="41">
        <f>Sheet1!B16</f>
        <v>0</v>
      </c>
      <c r="E28" s="8"/>
      <c r="F28" s="18" t="s">
        <v>29</v>
      </c>
      <c r="G28" s="8"/>
      <c r="H28" s="8"/>
      <c r="I28" s="4"/>
      <c r="J28" s="8"/>
      <c r="K28" s="8"/>
      <c r="L28" s="41">
        <f>Sheet1!B18</f>
        <v>0</v>
      </c>
    </row>
    <row r="29" spans="1:13" ht="15" customHeight="1" x14ac:dyDescent="0.2">
      <c r="A29" s="18"/>
      <c r="B29" s="18"/>
      <c r="C29" s="18"/>
      <c r="D29" s="29"/>
      <c r="E29" s="8"/>
      <c r="F29" s="18"/>
      <c r="G29" s="8"/>
      <c r="H29" s="8"/>
      <c r="I29" s="4"/>
      <c r="J29" s="8"/>
      <c r="K29" s="8"/>
      <c r="L29" s="29"/>
    </row>
    <row r="30" spans="1:13" ht="5.25" customHeight="1" thickBot="1" x14ac:dyDescent="0.25">
      <c r="A30" s="30"/>
      <c r="B30" s="30"/>
      <c r="C30" s="30"/>
      <c r="D30" s="30"/>
      <c r="E30" s="30"/>
      <c r="F30" s="31"/>
      <c r="G30" s="31"/>
      <c r="H30" s="30"/>
      <c r="I30" s="30"/>
      <c r="J30" s="30"/>
      <c r="K30" s="30"/>
      <c r="L30" s="30"/>
    </row>
    <row r="31" spans="1:13" x14ac:dyDescent="0.2">
      <c r="A31" s="9" t="s">
        <v>30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3" x14ac:dyDescent="0.2">
      <c r="A32" s="11" t="str">
        <f>IF(ISNUMBER(SEARCH(B32,Sheet1!B19)),"x","")</f>
        <v/>
      </c>
      <c r="B32" s="19" t="s">
        <v>31</v>
      </c>
      <c r="C32" s="11" t="str">
        <f>IF(ISNUMBER(SEARCH(D32,Sheet1!B19)),"x","")</f>
        <v/>
      </c>
      <c r="D32" s="19" t="s">
        <v>32</v>
      </c>
      <c r="E32" s="11" t="str">
        <f>IF(ISNUMBER(SEARCH(F32,Sheet1!B19)),"x","")</f>
        <v/>
      </c>
      <c r="F32" s="18" t="s">
        <v>33</v>
      </c>
      <c r="G32" s="32"/>
      <c r="H32" s="11" t="str">
        <f>IF(ISNUMBER(SEARCH(I32,Sheet1!B19)),"x","")</f>
        <v/>
      </c>
      <c r="I32" s="19" t="s">
        <v>34</v>
      </c>
      <c r="J32" s="8"/>
      <c r="K32" s="11" t="str">
        <f>IF(ISNUMBER(SEARCH(L32,Sheet1!B19)),"x","")</f>
        <v/>
      </c>
      <c r="L32" s="19" t="s">
        <v>35</v>
      </c>
    </row>
    <row r="33" spans="1:13" x14ac:dyDescent="0.2">
      <c r="A33" s="11" t="str">
        <f>IF(ISNUMBER(SEARCH(B33,Sheet1!B19)),"x","")</f>
        <v/>
      </c>
      <c r="B33" s="19" t="s">
        <v>36</v>
      </c>
      <c r="C33" s="11" t="str">
        <f>IF(ISNUMBER(SEARCH(D33,Sheet1!B19)),"x","")</f>
        <v/>
      </c>
      <c r="D33" s="19" t="s">
        <v>37</v>
      </c>
      <c r="E33" s="8"/>
      <c r="F33" s="32"/>
      <c r="G33" s="32"/>
      <c r="H33" s="8"/>
      <c r="I33" s="8"/>
      <c r="J33" s="8"/>
      <c r="K33" s="8"/>
      <c r="L33" s="8"/>
    </row>
    <row r="34" spans="1:13" ht="7.5" customHeight="1" x14ac:dyDescent="0.2">
      <c r="A34" s="15"/>
      <c r="B34" s="19"/>
      <c r="C34" s="15"/>
      <c r="D34" s="19"/>
      <c r="E34" s="8"/>
      <c r="F34" s="32"/>
      <c r="G34" s="32"/>
      <c r="H34" s="8"/>
      <c r="I34" s="8"/>
      <c r="J34" s="8"/>
      <c r="K34" s="8"/>
      <c r="L34" s="8"/>
    </row>
    <row r="35" spans="1:13" x14ac:dyDescent="0.2">
      <c r="A35" s="9" t="s">
        <v>38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3" ht="3.75" customHeight="1" x14ac:dyDescent="0.2">
      <c r="A36" s="19"/>
      <c r="B36" s="3"/>
      <c r="C36" s="19"/>
      <c r="D36" s="3"/>
      <c r="E36" s="19"/>
      <c r="F36" s="3"/>
      <c r="G36" s="3"/>
      <c r="H36" s="19"/>
      <c r="I36" s="3"/>
      <c r="K36" s="19"/>
      <c r="L36" s="3"/>
    </row>
    <row r="37" spans="1:13" ht="15" customHeight="1" x14ac:dyDescent="0.2">
      <c r="A37" s="11" t="str">
        <f>IF(ISNUMBER(SEARCH(B37,Sheet1!B21)),"x","")</f>
        <v/>
      </c>
      <c r="B37" s="3" t="s">
        <v>84</v>
      </c>
      <c r="C37" s="11" t="str">
        <f>IF(ISNUMBER(SEARCH(D37,Sheet1!B21)),"x","")</f>
        <v/>
      </c>
      <c r="D37" s="3" t="s">
        <v>80</v>
      </c>
      <c r="E37" s="11" t="str">
        <f>IF(ISNUMBER(SEARCH(F37,Sheet1!B21)),"x","")</f>
        <v/>
      </c>
      <c r="F37" s="3" t="s">
        <v>79</v>
      </c>
      <c r="G37" s="3"/>
      <c r="H37" s="11" t="str">
        <f>IF(ISNUMBER(SEARCH(I37,Sheet1!B21)),"x","")</f>
        <v/>
      </c>
      <c r="I37" s="3" t="s">
        <v>81</v>
      </c>
      <c r="K37" s="11" t="str">
        <f>IF(ISNUMBER(SEARCH(L37,Sheet1!B21)),"x","")</f>
        <v/>
      </c>
      <c r="L37" s="3" t="s">
        <v>82</v>
      </c>
      <c r="M37" s="28"/>
    </row>
    <row r="38" spans="1:13" ht="3.75" customHeight="1" x14ac:dyDescent="0.2">
      <c r="A38" s="19"/>
      <c r="B38" s="3"/>
      <c r="C38" s="19"/>
      <c r="D38" s="3"/>
      <c r="E38" s="19"/>
      <c r="F38" s="3"/>
      <c r="G38" s="3"/>
      <c r="H38" s="19"/>
      <c r="I38" s="3"/>
      <c r="K38" s="19"/>
      <c r="L38" s="3"/>
    </row>
    <row r="39" spans="1:13" ht="15" customHeight="1" x14ac:dyDescent="0.2">
      <c r="A39" s="11" t="str">
        <f>IF(ISNUMBER(SEARCH(B39,Sheet1!B21)),"x","")</f>
        <v/>
      </c>
      <c r="B39" s="3" t="s">
        <v>83</v>
      </c>
      <c r="C39" s="11" t="str">
        <f>IF(ISNUMBER(SEARCH(D39,Sheet1!B21)),"x","")</f>
        <v/>
      </c>
      <c r="D39" s="3" t="s">
        <v>39</v>
      </c>
      <c r="E39" s="11" t="str">
        <f>IF(ISNUMBER(SEARCH(F39,Sheet1!B21)),"x","")</f>
        <v/>
      </c>
      <c r="F39" s="3" t="s">
        <v>85</v>
      </c>
      <c r="G39" s="3"/>
      <c r="H39" s="11" t="str">
        <f>IF(ISNUMBER(SEARCH(I39,Sheet1!B21)),"x","")</f>
        <v/>
      </c>
      <c r="I39" s="3" t="s">
        <v>90</v>
      </c>
      <c r="K39" s="15"/>
      <c r="L39" s="33"/>
    </row>
    <row r="40" spans="1:13" ht="3.75" customHeight="1" x14ac:dyDescent="0.2">
      <c r="A40" s="19"/>
      <c r="B40" s="3"/>
      <c r="C40" s="19"/>
      <c r="D40" s="3"/>
      <c r="E40" s="19"/>
      <c r="F40" s="3"/>
      <c r="G40" s="3"/>
      <c r="H40" s="19"/>
      <c r="I40" s="3"/>
      <c r="K40" s="19"/>
      <c r="L40" s="3"/>
    </row>
    <row r="41" spans="1:13" ht="15" customHeight="1" x14ac:dyDescent="0.2">
      <c r="A41" s="11" t="str">
        <f>IF(ISNUMBER(SEARCH(B41,Sheet1!B21)),"x","")</f>
        <v/>
      </c>
      <c r="B41" s="3" t="s">
        <v>86</v>
      </c>
      <c r="C41" s="11" t="str">
        <f>IF(ISNUMBER(SEARCH(D41,Sheet1!B21)),"x","")</f>
        <v/>
      </c>
      <c r="D41" s="3" t="s">
        <v>40</v>
      </c>
      <c r="E41" s="11" t="str">
        <f>IF(ISNUMBER(SEARCH(F41,Sheet1!B21)),"x","")</f>
        <v/>
      </c>
      <c r="F41" s="3" t="s">
        <v>88</v>
      </c>
      <c r="G41" s="3"/>
      <c r="H41" s="11" t="str">
        <f>IF(ISNUMBER(SEARCH(I41,Sheet1!B21)),"x","")</f>
        <v/>
      </c>
      <c r="I41" s="3" t="s">
        <v>87</v>
      </c>
      <c r="K41" s="11" t="str">
        <f>IF(ISNUMBER(SEARCH(L41,Sheet1!B21)),"x","")</f>
        <v/>
      </c>
      <c r="L41" s="3" t="s">
        <v>89</v>
      </c>
    </row>
    <row r="42" spans="1:13" ht="3.75" customHeight="1" x14ac:dyDescent="0.2">
      <c r="A42" s="19"/>
      <c r="B42" s="3"/>
      <c r="C42" s="19"/>
      <c r="D42" s="3"/>
      <c r="E42" s="19"/>
      <c r="F42" s="3"/>
      <c r="G42" s="3"/>
      <c r="H42" s="19"/>
      <c r="I42" s="3"/>
      <c r="K42" s="19"/>
      <c r="L42" s="3"/>
    </row>
    <row r="43" spans="1:13" x14ac:dyDescent="0.2">
      <c r="A43" s="9" t="s">
        <v>41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3" ht="3.75" customHeight="1" x14ac:dyDescent="0.2">
      <c r="A44" s="19"/>
      <c r="B44" s="3"/>
      <c r="C44" s="19"/>
      <c r="D44" s="3"/>
      <c r="E44" s="19"/>
      <c r="F44" s="3"/>
      <c r="G44" s="3"/>
      <c r="H44" s="19"/>
      <c r="I44" s="3"/>
      <c r="K44" s="19"/>
      <c r="L44" s="3"/>
    </row>
    <row r="45" spans="1:13" ht="15" customHeight="1" x14ac:dyDescent="0.2">
      <c r="A45" s="11" t="str">
        <f>IF(B45=Sheet1!B23,"x","")</f>
        <v/>
      </c>
      <c r="B45" s="3" t="s">
        <v>91</v>
      </c>
      <c r="C45" s="11" t="str">
        <f>IF(D45=Sheet1!B23,"x","")</f>
        <v/>
      </c>
      <c r="D45" s="3" t="s">
        <v>76</v>
      </c>
      <c r="E45" s="15"/>
      <c r="F45" s="15"/>
      <c r="G45" s="3"/>
      <c r="H45" s="11" t="str">
        <f>IF(I45=Sheet1!B23,"x","")</f>
        <v/>
      </c>
      <c r="I45" s="3" t="s">
        <v>42</v>
      </c>
      <c r="K45" s="15"/>
      <c r="L45" s="3"/>
    </row>
    <row r="46" spans="1:13" ht="3" customHeight="1" x14ac:dyDescent="0.2">
      <c r="A46" s="15"/>
      <c r="B46" s="3"/>
      <c r="C46" s="15"/>
      <c r="D46" s="3"/>
      <c r="E46" s="15"/>
      <c r="F46" s="15"/>
      <c r="G46" s="3"/>
      <c r="H46" s="15"/>
      <c r="I46" s="3"/>
      <c r="K46" s="15"/>
      <c r="L46" s="3"/>
    </row>
    <row r="47" spans="1:13" ht="24" x14ac:dyDescent="0.2">
      <c r="A47" s="11" t="str">
        <f>IF(OR(C45="x",A45="x",H45="x"),"","x")</f>
        <v>x</v>
      </c>
      <c r="B47" s="12" t="s">
        <v>43</v>
      </c>
      <c r="C47" s="15"/>
      <c r="D47" s="62" t="s">
        <v>44</v>
      </c>
      <c r="E47" s="62"/>
      <c r="F47" s="62"/>
      <c r="G47" s="62"/>
      <c r="H47" s="62"/>
      <c r="I47" s="62"/>
      <c r="J47" s="62"/>
      <c r="K47" s="62"/>
      <c r="L47" s="62"/>
    </row>
    <row r="48" spans="1:13" ht="15" customHeight="1" x14ac:dyDescent="0.2">
      <c r="A48" s="15"/>
      <c r="B48" s="3"/>
      <c r="C48" s="15"/>
      <c r="D48" s="34" t="str">
        <f>IF(IF(OR(A45="x",C45="x",H45="x"),"",Sheet1!B14)=0,"",Sheet1!B14)</f>
        <v/>
      </c>
      <c r="E48" s="33"/>
      <c r="F48" s="33"/>
      <c r="G48" s="33"/>
      <c r="H48" s="35"/>
      <c r="I48" s="33"/>
      <c r="J48" s="23"/>
      <c r="K48" s="23"/>
      <c r="L48" s="23"/>
    </row>
    <row r="49" spans="1:13" x14ac:dyDescent="0.2">
      <c r="A49" s="9" t="s">
        <v>45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3" ht="15.75" customHeight="1" x14ac:dyDescent="0.2">
      <c r="A50" s="3" t="s">
        <v>46</v>
      </c>
      <c r="B50" s="3"/>
      <c r="C50" s="3"/>
      <c r="D50" s="3"/>
      <c r="E50" s="3"/>
      <c r="F50" s="3"/>
      <c r="G50" s="3"/>
      <c r="H50" s="11" t="str">
        <f>IF(Sheet1!B24="True","x","")</f>
        <v/>
      </c>
      <c r="I50" s="3" t="s">
        <v>47</v>
      </c>
    </row>
    <row r="51" spans="1:13" ht="9" customHeight="1" x14ac:dyDescent="0.2">
      <c r="A51" s="3"/>
      <c r="B51" s="3"/>
      <c r="C51" s="3"/>
      <c r="D51" s="3"/>
      <c r="E51" s="3"/>
      <c r="F51" s="3"/>
      <c r="G51" s="3"/>
    </row>
    <row r="52" spans="1:13" ht="15" customHeight="1" x14ac:dyDescent="0.2">
      <c r="A52" s="11" t="str">
        <f>IF(B52=Sheet1!B25,"x","")</f>
        <v/>
      </c>
      <c r="B52" s="19" t="s">
        <v>92</v>
      </c>
      <c r="C52" s="11" t="str">
        <f>IF(D52=Sheet1!B25,"x","")</f>
        <v/>
      </c>
      <c r="D52" s="19" t="s">
        <v>77</v>
      </c>
      <c r="E52" s="11" t="str">
        <f>IF(F52=Sheet1!B25,"x","")</f>
        <v/>
      </c>
      <c r="F52" s="19" t="s">
        <v>93</v>
      </c>
      <c r="G52" s="3"/>
      <c r="H52" s="11" t="str">
        <f>IF(I52=Sheet1!B25,"x","")</f>
        <v/>
      </c>
      <c r="I52" s="19" t="s">
        <v>94</v>
      </c>
      <c r="K52" s="11" t="str">
        <f>IF(L52=Sheet1!B25,"x","")</f>
        <v/>
      </c>
      <c r="L52" s="19" t="s">
        <v>95</v>
      </c>
    </row>
    <row r="53" spans="1:13" ht="3.75" customHeight="1" x14ac:dyDescent="0.2">
      <c r="A53" s="19"/>
      <c r="B53" s="3"/>
      <c r="C53" s="19"/>
      <c r="D53" s="3"/>
      <c r="E53" s="19"/>
      <c r="F53" s="3"/>
      <c r="G53" s="3"/>
      <c r="H53" s="19"/>
      <c r="I53" s="3"/>
      <c r="K53" s="19"/>
      <c r="L53" s="3"/>
    </row>
    <row r="54" spans="1:13" ht="15" customHeight="1" x14ac:dyDescent="0.2">
      <c r="A54" s="11" t="str">
        <f>IF(B54=Sheet1!B25,"x","")</f>
        <v/>
      </c>
      <c r="B54" s="19" t="s">
        <v>96</v>
      </c>
      <c r="C54" s="11" t="str">
        <f>IF(OR(A52="x",C52="x",E52="x",H52="x",K52="x",A54="x",K54="x"),"","x")</f>
        <v>x</v>
      </c>
      <c r="D54" s="19" t="s">
        <v>98</v>
      </c>
      <c r="E54" s="19"/>
      <c r="F54" s="33" t="str">
        <f>IF(IF(OR(A52="x",C52="x",E52="x",H52="x",K52="x",A54="x",K54="x"),"",Sheet1!B25)=0,"",Sheet1!B25)</f>
        <v/>
      </c>
      <c r="G54" s="33"/>
      <c r="H54" s="36"/>
      <c r="I54" s="23"/>
      <c r="K54" s="11" t="str">
        <f>IF(L54=Sheet1!B25,"x","")</f>
        <v/>
      </c>
      <c r="L54" s="19" t="s">
        <v>97</v>
      </c>
    </row>
    <row r="55" spans="1:13" ht="3.75" customHeight="1" x14ac:dyDescent="0.2">
      <c r="A55" s="19"/>
      <c r="B55" s="3"/>
      <c r="C55" s="19"/>
      <c r="D55" s="3"/>
      <c r="E55" s="19"/>
      <c r="F55" s="3"/>
      <c r="G55" s="3"/>
      <c r="H55" s="19"/>
      <c r="I55" s="3"/>
      <c r="K55" s="19"/>
      <c r="L55" s="3"/>
    </row>
    <row r="56" spans="1:13" ht="15" customHeight="1" x14ac:dyDescent="0.2">
      <c r="A56" s="3" t="s">
        <v>48</v>
      </c>
      <c r="B56" s="3"/>
      <c r="C56" s="3"/>
      <c r="D56" s="3"/>
      <c r="E56" s="3"/>
      <c r="F56" s="3"/>
      <c r="G56" s="3"/>
      <c r="H56" s="11" t="str">
        <f>IF(I56=Sheet1!B27,"x","")</f>
        <v/>
      </c>
      <c r="I56" s="3" t="s">
        <v>99</v>
      </c>
      <c r="J56" s="63"/>
      <c r="K56" s="63"/>
      <c r="L56" s="63"/>
      <c r="M56" s="28"/>
    </row>
    <row r="57" spans="1:13" ht="6" customHeight="1" x14ac:dyDescent="0.2">
      <c r="A57" s="3"/>
      <c r="B57" s="3"/>
      <c r="C57" s="3"/>
      <c r="D57" s="3"/>
      <c r="E57" s="3"/>
      <c r="F57" s="3"/>
      <c r="G57" s="3"/>
      <c r="J57" s="63"/>
      <c r="K57" s="63"/>
      <c r="L57" s="63"/>
    </row>
    <row r="58" spans="1:13" ht="24" x14ac:dyDescent="0.2">
      <c r="A58" s="11" t="str">
        <f>IF(B58=Sheet1!B27,"x","")</f>
        <v/>
      </c>
      <c r="B58" s="43" t="s">
        <v>78</v>
      </c>
      <c r="C58" s="11" t="str">
        <f>IF(OR(A58="x",H56="x"),"","x")</f>
        <v>x</v>
      </c>
      <c r="D58" s="19" t="s">
        <v>50</v>
      </c>
      <c r="E58" s="19"/>
      <c r="F58" s="19"/>
      <c r="G58" s="3"/>
      <c r="H58" s="15"/>
      <c r="J58" s="63"/>
      <c r="K58" s="63"/>
      <c r="L58" s="63"/>
    </row>
    <row r="59" spans="1:13" ht="15" customHeight="1" x14ac:dyDescent="0.2">
      <c r="B59" s="42"/>
      <c r="C59" s="8"/>
      <c r="D59" s="23" t="str">
        <f>IF(IF(OR(A58="x",H56="x"),"",Sheet1!B27)=0,"",Sheet1!B27)</f>
        <v/>
      </c>
      <c r="E59" s="23"/>
      <c r="F59" s="23"/>
      <c r="G59" s="23"/>
      <c r="H59" s="23"/>
      <c r="J59" s="63"/>
      <c r="K59" s="63"/>
      <c r="L59" s="63"/>
    </row>
    <row r="60" spans="1:13" ht="2.25" customHeight="1" x14ac:dyDescent="0.2">
      <c r="A60" s="19"/>
      <c r="B60" s="3"/>
      <c r="C60" s="19"/>
      <c r="D60" s="3"/>
      <c r="E60" s="19"/>
      <c r="F60" s="3"/>
      <c r="G60" s="3"/>
      <c r="H60" s="19"/>
      <c r="I60" s="3"/>
      <c r="K60" s="19"/>
      <c r="L60" s="3"/>
    </row>
    <row r="61" spans="1:13" ht="3.75" customHeight="1" x14ac:dyDescent="0.2">
      <c r="A61" s="19"/>
      <c r="B61" s="3"/>
      <c r="C61" s="19"/>
      <c r="D61" s="3"/>
      <c r="E61" s="19"/>
      <c r="F61" s="3"/>
      <c r="G61" s="3"/>
      <c r="H61" s="19"/>
      <c r="I61" s="3"/>
      <c r="K61" s="19"/>
      <c r="L61" s="3"/>
    </row>
    <row r="62" spans="1:13" ht="15.75" customHeight="1" x14ac:dyDescent="0.2">
      <c r="A62" s="37" t="s">
        <v>51</v>
      </c>
      <c r="H62" s="11" t="str">
        <f>IF(Sheet1!B28="True","x","")</f>
        <v/>
      </c>
      <c r="I62" s="3" t="s">
        <v>52</v>
      </c>
      <c r="K62" s="11" t="str">
        <f>IF(Sheet1!B28="False","x","")</f>
        <v/>
      </c>
      <c r="L62" s="3" t="s">
        <v>49</v>
      </c>
      <c r="M62" s="28"/>
    </row>
    <row r="63" spans="1:13" ht="3.75" customHeight="1" x14ac:dyDescent="0.2">
      <c r="A63" s="19"/>
      <c r="B63" s="3"/>
      <c r="C63" s="19"/>
      <c r="D63" s="3"/>
      <c r="E63" s="19"/>
      <c r="F63" s="3"/>
      <c r="G63" s="3"/>
      <c r="H63" s="19"/>
      <c r="I63" s="3"/>
      <c r="K63" s="19"/>
      <c r="L63" s="3"/>
    </row>
    <row r="64" spans="1:13" ht="15.75" customHeight="1" x14ac:dyDescent="0.2">
      <c r="A64" s="37" t="s">
        <v>53</v>
      </c>
      <c r="H64" s="11" t="str">
        <f>IF(Sheet1!B29="True","x","")</f>
        <v/>
      </c>
      <c r="I64" s="3" t="s">
        <v>52</v>
      </c>
      <c r="K64" s="11" t="str">
        <f>IF(Sheet1!B29="False","x","")</f>
        <v/>
      </c>
      <c r="L64" s="3" t="s">
        <v>49</v>
      </c>
    </row>
    <row r="65" spans="1:13" x14ac:dyDescent="0.2">
      <c r="A65" s="38" t="s">
        <v>54</v>
      </c>
    </row>
    <row r="66" spans="1:13" ht="6.75" customHeight="1" x14ac:dyDescent="0.2"/>
    <row r="67" spans="1:13" x14ac:dyDescent="0.2">
      <c r="A67" s="9" t="s">
        <v>55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3" ht="6.75" customHeight="1" x14ac:dyDescent="0.2"/>
    <row r="69" spans="1:13" ht="22.5" customHeight="1" x14ac:dyDescent="0.2">
      <c r="A69" s="55" t="s">
        <v>56</v>
      </c>
      <c r="B69" s="55"/>
      <c r="C69" s="55"/>
      <c r="D69" s="55"/>
      <c r="E69" s="55"/>
      <c r="F69" s="55"/>
      <c r="H69" s="11" t="str">
        <f>IF(Sheet1!B30="True","x","")</f>
        <v/>
      </c>
      <c r="I69" s="3" t="s">
        <v>52</v>
      </c>
      <c r="K69" s="11" t="str">
        <f>IF(Sheet1!B30="False","x","")</f>
        <v/>
      </c>
      <c r="L69" s="3" t="s">
        <v>49</v>
      </c>
      <c r="M69" s="28"/>
    </row>
    <row r="70" spans="1:13" ht="6.75" customHeight="1" x14ac:dyDescent="0.2"/>
    <row r="71" spans="1:13" x14ac:dyDescent="0.2">
      <c r="A71" s="9" t="s">
        <v>57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3" ht="15.75" customHeight="1" x14ac:dyDescent="0.2">
      <c r="A72" s="2" t="s">
        <v>58</v>
      </c>
      <c r="H72" s="11" t="str">
        <f>IF(Sheet1!B31="True","x","")</f>
        <v/>
      </c>
      <c r="I72" s="3" t="s">
        <v>52</v>
      </c>
      <c r="K72" s="11" t="str">
        <f>IF(Sheet1!B31="False","x","")</f>
        <v/>
      </c>
      <c r="L72" s="3" t="s">
        <v>49</v>
      </c>
    </row>
    <row r="73" spans="1:13" ht="6.75" customHeight="1" x14ac:dyDescent="0.2"/>
    <row r="74" spans="1:13" ht="6.75" customHeight="1" x14ac:dyDescent="0.2"/>
    <row r="75" spans="1:13" ht="6.75" customHeight="1" x14ac:dyDescent="0.2"/>
    <row r="76" spans="1:13" ht="6.75" customHeight="1" x14ac:dyDescent="0.2"/>
    <row r="77" spans="1:13" ht="39.75" customHeight="1" x14ac:dyDescent="0.2">
      <c r="A77" s="54" t="s">
        <v>59</v>
      </c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</row>
    <row r="78" spans="1:13" ht="19.5" customHeight="1" x14ac:dyDescent="0.2"/>
    <row r="79" spans="1:13" x14ac:dyDescent="0.2">
      <c r="A79" s="19" t="s">
        <v>60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3" x14ac:dyDescent="0.2">
      <c r="A80" s="52" t="str">
        <f>IF(Sheet1!B32=0,"",Sheet1!B32)</f>
        <v/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</row>
    <row r="81" spans="1:12" x14ac:dyDescent="0.2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</row>
    <row r="82" spans="1:12" x14ac:dyDescent="0.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</row>
    <row r="83" spans="1:12" x14ac:dyDescent="0.2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</row>
    <row r="84" spans="1:12" ht="13.5" hidden="1" customHeight="1" x14ac:dyDescent="0.2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</row>
    <row r="85" spans="1:12" ht="9" customHeight="1" x14ac:dyDescent="0.2"/>
    <row r="86" spans="1:12" x14ac:dyDescent="0.2">
      <c r="A86" s="19" t="s">
        <v>61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7" spans="1:12" ht="45" customHeight="1" x14ac:dyDescent="0.2">
      <c r="A87" s="52" t="str">
        <f>IF(Sheet1!B33=0,"",Sheet1!B33)</f>
        <v/>
      </c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</row>
    <row r="88" spans="1:12" ht="39.75" customHeight="1" x14ac:dyDescent="0.2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</row>
    <row r="89" spans="1:12" ht="32.25" customHeight="1" x14ac:dyDescent="0.2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</row>
    <row r="90" spans="1:12" x14ac:dyDescent="0.2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</row>
    <row r="91" spans="1:12" ht="9" customHeight="1" x14ac:dyDescent="0.2"/>
    <row r="92" spans="1:12" x14ac:dyDescent="0.2">
      <c r="A92" s="19" t="s">
        <v>62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 x14ac:dyDescent="0.2">
      <c r="A93" s="52" t="str">
        <f>IF(Sheet1!B34=0,"",Sheet1!B34)</f>
        <v/>
      </c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</row>
    <row r="94" spans="1:12" x14ac:dyDescent="0.2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</row>
    <row r="95" spans="1:12" x14ac:dyDescent="0.2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</row>
    <row r="96" spans="1:12" x14ac:dyDescent="0.2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</row>
    <row r="97" spans="1:12" ht="9" customHeight="1" x14ac:dyDescent="0.2"/>
    <row r="98" spans="1:12" x14ac:dyDescent="0.2">
      <c r="A98" s="19" t="s">
        <v>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spans="1:12" x14ac:dyDescent="0.2">
      <c r="A99" s="52" t="str">
        <f>IF(Sheet1!B35=0,"",Sheet1!B35)</f>
        <v/>
      </c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</row>
    <row r="100" spans="1:12" x14ac:dyDescent="0.2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</row>
    <row r="101" spans="1:12" x14ac:dyDescent="0.2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</row>
    <row r="102" spans="1:12" x14ac:dyDescent="0.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</row>
    <row r="103" spans="1:12" ht="9" customHeight="1" x14ac:dyDescent="0.2"/>
    <row r="104" spans="1:12" x14ac:dyDescent="0.2">
      <c r="A104" s="19" t="s">
        <v>64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spans="1:12" x14ac:dyDescent="0.2">
      <c r="A105" s="52" t="str">
        <f>IF(Sheet1!B36=0,"",Sheet1!B36)</f>
        <v/>
      </c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</row>
    <row r="106" spans="1:12" x14ac:dyDescent="0.2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</row>
    <row r="107" spans="1:12" x14ac:dyDescent="0.2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</row>
    <row r="108" spans="1:12" x14ac:dyDescent="0.2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</row>
    <row r="109" spans="1:12" ht="9" customHeight="1" x14ac:dyDescent="0.2"/>
    <row r="110" spans="1:12" x14ac:dyDescent="0.2">
      <c r="A110" s="19" t="s">
        <v>65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30.75" customHeight="1" x14ac:dyDescent="0.2">
      <c r="A111" s="52" t="str">
        <f>IF(Sheet1!B37=0,"",Sheet1!B37)</f>
        <v/>
      </c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</row>
    <row r="112" spans="1:12" ht="30.75" customHeight="1" x14ac:dyDescent="0.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</row>
    <row r="113" spans="1:12" ht="30.75" customHeight="1" x14ac:dyDescent="0.2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</row>
    <row r="114" spans="1:12" ht="30.75" customHeight="1" x14ac:dyDescent="0.2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</row>
    <row r="115" spans="1:12" ht="30.75" customHeight="1" x14ac:dyDescent="0.2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</row>
    <row r="116" spans="1:12" ht="9" customHeight="1" x14ac:dyDescent="0.2"/>
    <row r="117" spans="1:12" x14ac:dyDescent="0.2">
      <c r="A117" s="48" t="s">
        <v>66</v>
      </c>
      <c r="B117" s="49"/>
      <c r="C117" s="49"/>
      <c r="D117" s="49"/>
      <c r="E117" s="49"/>
      <c r="F117" s="49"/>
      <c r="G117" s="49"/>
      <c r="H117" s="49"/>
      <c r="I117" s="8"/>
      <c r="J117" s="8"/>
      <c r="K117" s="8"/>
      <c r="L117" s="8"/>
    </row>
    <row r="118" spans="1:12" x14ac:dyDescent="0.2">
      <c r="A118" s="52" t="str">
        <f>IF(Sheet1!B38=0,"",Sheet1!B38)</f>
        <v/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</row>
    <row r="119" spans="1:12" x14ac:dyDescent="0.2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</row>
    <row r="120" spans="1:12" x14ac:dyDescent="0.2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</row>
    <row r="121" spans="1:12" x14ac:dyDescent="0.2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</row>
    <row r="122" spans="1:12" x14ac:dyDescent="0.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</row>
    <row r="123" spans="1:12" ht="14.25" customHeight="1" x14ac:dyDescent="0.2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</row>
    <row r="124" spans="1:12" hidden="1" x14ac:dyDescent="0.2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</row>
    <row r="125" spans="1:12" hidden="1" x14ac:dyDescent="0.2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</row>
    <row r="126" spans="1:12" x14ac:dyDescent="0.2">
      <c r="A126" s="48" t="s">
        <v>67</v>
      </c>
      <c r="B126" s="49"/>
      <c r="C126" s="49"/>
      <c r="D126" s="49"/>
      <c r="E126" s="42"/>
      <c r="F126" s="42"/>
      <c r="G126" s="42"/>
      <c r="H126" s="42"/>
      <c r="I126" s="42"/>
      <c r="J126" s="42"/>
      <c r="K126" s="42"/>
      <c r="L126" s="50"/>
    </row>
    <row r="127" spans="1:12" x14ac:dyDescent="0.2">
      <c r="A127" s="48" t="s">
        <v>68</v>
      </c>
      <c r="B127" s="49"/>
      <c r="C127" s="49"/>
      <c r="D127" s="49"/>
      <c r="E127" s="42"/>
      <c r="F127" s="42"/>
      <c r="G127" s="42"/>
      <c r="H127" s="42"/>
      <c r="I127" s="42"/>
      <c r="J127" s="42"/>
      <c r="K127" s="42"/>
      <c r="L127" s="50"/>
    </row>
    <row r="128" spans="1:12" x14ac:dyDescent="0.2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</row>
    <row r="129" spans="1:12" x14ac:dyDescent="0.2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</row>
    <row r="130" spans="1:12" x14ac:dyDescent="0.2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</row>
    <row r="131" spans="1:12" x14ac:dyDescent="0.2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</row>
    <row r="132" spans="1:12" x14ac:dyDescent="0.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</row>
    <row r="133" spans="1:12" x14ac:dyDescent="0.2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</row>
    <row r="134" spans="1:12" x14ac:dyDescent="0.2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</row>
    <row r="135" spans="1:12" x14ac:dyDescent="0.2">
      <c r="A135" s="48" t="s">
        <v>69</v>
      </c>
      <c r="B135" s="49"/>
      <c r="C135" s="49"/>
      <c r="D135" s="42" t="str">
        <f>IF(Sheet1!B40="False","No",IF(Sheet1!B40="True","Yes",""))</f>
        <v/>
      </c>
      <c r="E135" s="42"/>
      <c r="F135" s="42"/>
      <c r="G135" s="42"/>
      <c r="H135" s="42"/>
      <c r="I135" s="42"/>
    </row>
    <row r="136" spans="1:12" x14ac:dyDescent="0.2">
      <c r="A136" s="51" t="s">
        <v>70</v>
      </c>
      <c r="B136" s="42"/>
      <c r="C136" s="42"/>
      <c r="D136" s="42" t="str">
        <f>IF(Sheet1!B41="False","No",IF(Sheet1!B41="True","Yes",""))</f>
        <v/>
      </c>
      <c r="E136" s="42"/>
      <c r="F136" s="42"/>
      <c r="G136" s="42"/>
      <c r="H136" s="42"/>
      <c r="I136" s="42"/>
    </row>
    <row r="137" spans="1:12" x14ac:dyDescent="0.2">
      <c r="A137" s="51" t="s">
        <v>71</v>
      </c>
      <c r="B137" s="42"/>
      <c r="C137" s="42"/>
      <c r="D137" s="42"/>
      <c r="E137" s="42"/>
      <c r="F137" s="42" t="str">
        <f>IF(Sheet1!B42="False","No",IF(Sheet1!B42="True","Yes",""))</f>
        <v/>
      </c>
      <c r="G137" s="42"/>
      <c r="H137" s="42"/>
      <c r="I137" s="42"/>
    </row>
    <row r="138" spans="1:12" x14ac:dyDescent="0.2">
      <c r="A138" s="51" t="s">
        <v>72</v>
      </c>
      <c r="B138" s="42"/>
      <c r="C138" s="42"/>
      <c r="D138" s="42"/>
      <c r="E138" s="42"/>
      <c r="F138" s="42" t="str">
        <f>IF(Sheet1!B43="False","No",IF(Sheet1!B43="True","Yes",""))</f>
        <v/>
      </c>
      <c r="G138" s="42"/>
      <c r="H138" s="42"/>
      <c r="I138" s="42"/>
    </row>
    <row r="139" spans="1:12" x14ac:dyDescent="0.2">
      <c r="A139" s="51" t="s">
        <v>73</v>
      </c>
      <c r="B139" s="42"/>
      <c r="C139" s="42"/>
      <c r="D139" s="42"/>
      <c r="E139" s="42"/>
      <c r="F139" s="42"/>
      <c r="G139" s="42"/>
      <c r="H139" s="42"/>
      <c r="I139" s="42"/>
      <c r="L139" s="2" t="str">
        <f>IF(Sheet1!B44=0,"",Sheet1!B44)</f>
        <v/>
      </c>
    </row>
    <row r="140" spans="1:12" x14ac:dyDescent="0.2">
      <c r="A140" s="19"/>
      <c r="B140" s="8"/>
      <c r="C140" s="8"/>
    </row>
    <row r="141" spans="1:12" x14ac:dyDescent="0.2">
      <c r="A141" s="19"/>
      <c r="B141" s="8"/>
      <c r="C141" s="8"/>
    </row>
    <row r="146" spans="1:12" x14ac:dyDescent="0.2">
      <c r="A146" s="19" t="s">
        <v>74</v>
      </c>
      <c r="B146" s="8"/>
      <c r="C146" s="8"/>
    </row>
    <row r="147" spans="1:12" x14ac:dyDescent="0.2">
      <c r="A147" s="52" t="str">
        <f>IF(Sheet1!B45=0,"",Sheet1!B45)</f>
        <v/>
      </c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</row>
    <row r="148" spans="1:12" x14ac:dyDescent="0.2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</row>
    <row r="149" spans="1:12" x14ac:dyDescent="0.2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</row>
    <row r="150" spans="1:12" x14ac:dyDescent="0.2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</row>
    <row r="151" spans="1:12" x14ac:dyDescent="0.2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</row>
    <row r="152" spans="1:12" x14ac:dyDescent="0.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</row>
    <row r="153" spans="1:12" x14ac:dyDescent="0.2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</row>
    <row r="154" spans="1:12" x14ac:dyDescent="0.2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</row>
  </sheetData>
  <mergeCells count="27">
    <mergeCell ref="A8:B8"/>
    <mergeCell ref="A2:L2"/>
    <mergeCell ref="C6:G6"/>
    <mergeCell ref="I6:K6"/>
    <mergeCell ref="C7:F7"/>
    <mergeCell ref="I7:K7"/>
    <mergeCell ref="A69:F69"/>
    <mergeCell ref="A9:L10"/>
    <mergeCell ref="A12:B12"/>
    <mergeCell ref="A18:B18"/>
    <mergeCell ref="F22:J22"/>
    <mergeCell ref="K22:L22"/>
    <mergeCell ref="A24:B24"/>
    <mergeCell ref="A25:L25"/>
    <mergeCell ref="A27:C27"/>
    <mergeCell ref="A28:C28"/>
    <mergeCell ref="D47:L47"/>
    <mergeCell ref="J56:L59"/>
    <mergeCell ref="A111:L115"/>
    <mergeCell ref="A118:L125"/>
    <mergeCell ref="A147:L154"/>
    <mergeCell ref="A77:L77"/>
    <mergeCell ref="A80:L84"/>
    <mergeCell ref="A87:L90"/>
    <mergeCell ref="A93:L96"/>
    <mergeCell ref="A99:L102"/>
    <mergeCell ref="A105:L108"/>
  </mergeCells>
  <pageMargins left="0.7" right="0.7" top="0.75" bottom="0.75" header="0.3" footer="0.3"/>
  <pageSetup scale="9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Cognizant Technology Solutions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satish</cp:lastModifiedBy>
  <cp:lastPrinted>2019-03-14T14:07:12Z</cp:lastPrinted>
  <dcterms:created xsi:type="dcterms:W3CDTF">2019-03-14T14:06:45Z</dcterms:created>
  <dcterms:modified xsi:type="dcterms:W3CDTF">2019-03-30T07:18:29Z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