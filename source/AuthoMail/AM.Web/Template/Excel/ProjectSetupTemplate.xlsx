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730" windowHeight="11115"/>
  </bookViews>
  <sheets>
    <sheet name="Sheet2" sheetId="1" r:id="rId1"/>
    <sheet name="Sheet1" sheetId="3" r:id="rId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D139" i="1"/>
  <c r="A151" i="1"/>
  <c r="L143" i="1"/>
  <c r="F142" i="1"/>
  <c r="F141" i="1"/>
  <c r="D140" i="1"/>
  <c r="A132" i="1"/>
  <c r="A122" i="1"/>
  <c r="A115" i="1"/>
  <c r="A109" i="1"/>
  <c r="A103" i="1"/>
  <c r="A97" i="1"/>
  <c r="A91" i="1"/>
  <c r="A84" i="1"/>
  <c r="K76" i="1"/>
  <c r="H76" i="1"/>
  <c r="K73" i="1"/>
  <c r="H73" i="1"/>
  <c r="K68" i="1"/>
  <c r="H68" i="1"/>
  <c r="K66" i="1"/>
  <c r="H66" i="1"/>
  <c r="D63" i="1"/>
  <c r="C62" i="1"/>
  <c r="A62" i="1"/>
  <c r="K60" i="1"/>
  <c r="H60" i="1"/>
  <c r="D58" i="1"/>
  <c r="A58" i="1"/>
  <c r="K56" i="1"/>
  <c r="H56" i="1"/>
  <c r="E56" i="1"/>
  <c r="C56" i="1"/>
  <c r="A56" i="1"/>
  <c r="H54" i="1"/>
  <c r="B52" i="1"/>
  <c r="A51" i="1"/>
  <c r="H49" i="1"/>
  <c r="C49" i="1"/>
  <c r="A49" i="1"/>
  <c r="K45" i="1"/>
  <c r="H45" i="1"/>
  <c r="E45" i="1"/>
  <c r="C45" i="1"/>
  <c r="A45" i="1"/>
  <c r="L43" i="1"/>
  <c r="H43" i="1"/>
  <c r="E43" i="1"/>
  <c r="C43" i="1"/>
  <c r="A43" i="1"/>
  <c r="K41" i="1"/>
  <c r="H41" i="1"/>
  <c r="E41" i="1"/>
  <c r="C41" i="1"/>
  <c r="A41" i="1"/>
  <c r="C37" i="1"/>
  <c r="A37" i="1"/>
  <c r="K36" i="1"/>
  <c r="H36" i="1"/>
  <c r="E36" i="1"/>
  <c r="C36" i="1"/>
  <c r="A36" i="1"/>
  <c r="L32" i="1"/>
  <c r="D32" i="1"/>
  <c r="L31" i="1"/>
  <c r="D31" i="1"/>
  <c r="A29" i="1"/>
  <c r="K28" i="1"/>
  <c r="H28" i="1"/>
  <c r="E28" i="1"/>
  <c r="C28" i="1"/>
  <c r="K25" i="1"/>
  <c r="H25" i="1"/>
  <c r="I23" i="1"/>
  <c r="K22" i="1"/>
  <c r="H22" i="1"/>
  <c r="E22" i="1"/>
  <c r="C22" i="1"/>
  <c r="G20" i="1"/>
  <c r="K18" i="1"/>
  <c r="H18" i="1"/>
  <c r="E16" i="1"/>
  <c r="K14" i="1"/>
  <c r="H14" i="1"/>
  <c r="E14" i="1"/>
  <c r="C14" i="1"/>
  <c r="C10" i="1"/>
  <c r="L8" i="1"/>
  <c r="C8" i="1"/>
  <c r="L6" i="1"/>
  <c r="C6" i="1"/>
</calcChain>
</file>

<file path=xl/sharedStrings.xml><?xml version="1.0" encoding="utf-8"?>
<sst xmlns="http://schemas.openxmlformats.org/spreadsheetml/2006/main" count="109" uniqueCount="97">
  <si>
    <t>New Project Request/Pricing Form</t>
  </si>
  <si>
    <t xml:space="preserve"> Project Start Date: </t>
  </si>
  <si>
    <t>Project Description:</t>
  </si>
  <si>
    <t>A.  File Transmission &amp; Types</t>
  </si>
  <si>
    <t>Files transmitted via:</t>
  </si>
  <si>
    <t>Client FTP</t>
  </si>
  <si>
    <t>CoreLogic FTP</t>
  </si>
  <si>
    <t xml:space="preserve"> CL Pull from Client System Imaging</t>
  </si>
  <si>
    <t>How many times will Corelogic be sweeping the SFTP</t>
  </si>
  <si>
    <t>2X</t>
  </si>
  <si>
    <t>4X</t>
  </si>
  <si>
    <t xml:space="preserve"> What times of day (EST) will the sweeps take place?</t>
  </si>
  <si>
    <t>Type of Files</t>
  </si>
  <si>
    <t>B.  File Receipt &amp; Service Levels</t>
  </si>
  <si>
    <t>What time will files be transmitted to CoreLogic?</t>
  </si>
  <si>
    <t>Service Level</t>
  </si>
  <si>
    <t>Same Day</t>
  </si>
  <si>
    <t>24 Hours</t>
  </si>
  <si>
    <t>48 Hours</t>
  </si>
  <si>
    <t>Est. pages per Package:</t>
  </si>
  <si>
    <t>Estimated # of Packages Per Month:</t>
  </si>
  <si>
    <t>Est. # of Packages Per Day:</t>
  </si>
  <si>
    <t>Estimated # of Packages Annually:</t>
  </si>
  <si>
    <t>C.  Daily Print Schedule</t>
  </si>
  <si>
    <t>Monday</t>
  </si>
  <si>
    <t>Tuesday</t>
  </si>
  <si>
    <t>Wednesday</t>
  </si>
  <si>
    <t>Thursday</t>
  </si>
  <si>
    <t>Friday</t>
  </si>
  <si>
    <t>Saturday</t>
  </si>
  <si>
    <t>Sunday</t>
  </si>
  <si>
    <t>D.  Project Requirements:  Paper &amp; Print  (Check all that apply)</t>
  </si>
  <si>
    <t>Insert Required</t>
  </si>
  <si>
    <t>Print 2-sided</t>
  </si>
  <si>
    <t>E.  How are packages to be sent for the customer:</t>
  </si>
  <si>
    <t>Certified USPS</t>
  </si>
  <si>
    <t>F.  Envelopes</t>
  </si>
  <si>
    <t xml:space="preserve">If mailed, what type of envelope is required? </t>
  </si>
  <si>
    <t xml:space="preserve"> Sample envelope(s) attached?</t>
  </si>
  <si>
    <r>
      <t xml:space="preserve">Does it need a </t>
    </r>
    <r>
      <rPr>
        <b/>
        <sz val="9"/>
        <color rgb="FFFF0000"/>
        <rFont val="Calibri"/>
        <family val="2"/>
        <scheme val="minor"/>
      </rPr>
      <t>Business Reply Mail</t>
    </r>
    <r>
      <rPr>
        <b/>
        <sz val="9"/>
        <color theme="1"/>
        <rFont val="Calibri"/>
        <family val="2"/>
        <scheme val="minor"/>
      </rPr>
      <t xml:space="preserve"> envelope included?</t>
    </r>
  </si>
  <si>
    <t xml:space="preserve"> No</t>
  </si>
  <si>
    <t>Will customer supply their  envelopes?</t>
  </si>
  <si>
    <t xml:space="preserve"> Yes</t>
  </si>
  <si>
    <t>Will customer provide artwork for the envelope(s)?</t>
  </si>
  <si>
    <t>Note:  If custom envelope is required, please allow 3-4 weeks for delivery</t>
  </si>
  <si>
    <t>G.  Postage *</t>
  </si>
  <si>
    <t>Do  you have an active general permit number  if USPS is the preferred shipping method</t>
  </si>
  <si>
    <t>H.  Scanning / AuthoMail</t>
  </si>
  <si>
    <t>Do these packages need to be scanned to AuthoMail?</t>
  </si>
  <si>
    <t>Please use this area to expand on "Other" requirements or to provide additional detailed information.</t>
  </si>
  <si>
    <t>Files transmitted (Other):</t>
  </si>
  <si>
    <t>Types of Files (Other):</t>
  </si>
  <si>
    <t>Paper &amp; Print (Additional Details):</t>
  </si>
  <si>
    <t>Shipping / Mailing  (Additional Details):</t>
  </si>
  <si>
    <t>Mailing Envelope  (Additional Details):</t>
  </si>
  <si>
    <t>Business Reply Mail Envelope  (Additional Details):</t>
  </si>
  <si>
    <t>List of  Doc Types  and how many pages will each file contain</t>
  </si>
  <si>
    <t xml:space="preserve">Provide pdf sample (print ready format) of each document that CoreLogic will be printing and shipping and </t>
  </si>
  <si>
    <t xml:space="preserve"> samples of envelopes if any. </t>
  </si>
  <si>
    <t xml:space="preserve">Will Inserts be requried ? </t>
  </si>
  <si>
    <t>Are booklets required?</t>
  </si>
  <si>
    <t>Are Business Reply Mail envelopes required?</t>
  </si>
  <si>
    <t>Are any other materials required?</t>
  </si>
  <si>
    <t>Will any inserted materials need to be ordered by Corelogic or provided by client?</t>
  </si>
  <si>
    <t>Additional information:</t>
  </si>
  <si>
    <t>Mortgage Cadence Integration</t>
  </si>
  <si>
    <t>Name of Project:</t>
  </si>
  <si>
    <t>Submitter:</t>
  </si>
  <si>
    <t xml:space="preserve">Submit Date: </t>
  </si>
  <si>
    <t>Other</t>
  </si>
  <si>
    <t>PM</t>
  </si>
  <si>
    <t>#9 Business Reply Mail</t>
  </si>
  <si>
    <t>PDF</t>
  </si>
  <si>
    <t>HP</t>
  </si>
  <si>
    <t>TIFF</t>
  </si>
  <si>
    <t>AM</t>
  </si>
  <si>
    <t>Mixed Media</t>
  </si>
  <si>
    <t>Letter Only</t>
  </si>
  <si>
    <t>Legal Only</t>
  </si>
  <si>
    <t>Stapled</t>
  </si>
  <si>
    <t>Not Stapled</t>
  </si>
  <si>
    <t>24# Paper</t>
  </si>
  <si>
    <t>Print 1-sided</t>
  </si>
  <si>
    <t>White</t>
  </si>
  <si>
    <t>B&amp;W</t>
  </si>
  <si>
    <t>Color</t>
  </si>
  <si>
    <t>B&amp;W &amp; Color</t>
  </si>
  <si>
    <t>Color (specify)</t>
  </si>
  <si>
    <t>Mailed-USPS</t>
  </si>
  <si>
    <t>Federal Express</t>
  </si>
  <si>
    <t># 10</t>
  </si>
  <si>
    <t>6 x 9.5</t>
  </si>
  <si>
    <t>9 x 12</t>
  </si>
  <si>
    <t>10 x 12</t>
  </si>
  <si>
    <t>10 x 13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</si>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</sst>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u/>
      <sz val="9"/>
      <color rgb="FFFF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2" borderId="0" xfId="0" applyFont="1" applyFill="1"/>
    <xf numFmtId="0" fontId="2" fillId="2" borderId="0" xfId="0" applyFont="1" applyFill="1"/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/>
    </xf>
    <xf numFmtId="0" fontId="1" fillId="3" borderId="0" xfId="0" applyFont="1" applyFill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wrapText="1"/>
    </xf>
    <xf numFmtId="0" fontId="3" fillId="0" borderId="0" xfId="0" applyFont="1" applyAlignment="1"/>
    <xf numFmtId="0" fontId="2" fillId="0" borderId="1" xfId="0" applyFont="1" applyBorder="1"/>
    <xf numFmtId="0" fontId="2" fillId="0" borderId="0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3" fontId="5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5" fillId="0" borderId="0" xfId="0" applyNumberFormat="1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8" fillId="0" borderId="0" xfId="0" applyFont="1" applyBorder="1"/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wrapText="1"/>
    </xf>
    <xf numFmtId="0" fontId="2" fillId="4" borderId="0" xfId="0" applyFont="1" applyFill="1" applyBorder="1"/>
    <xf numFmtId="0" fontId="1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2" fillId="4" borderId="0" xfId="0" applyFont="1" applyFill="1"/>
    <xf numFmtId="0" fontId="1" fillId="4" borderId="0" xfId="0" applyFont="1" applyFill="1" applyBorder="1"/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7" fillId="0" borderId="0" xfId="0" applyFont="1" applyBorder="1"/>
    <xf numFmtId="164" fontId="3" fillId="0" borderId="4" xfId="0" applyNumberFormat="1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4" borderId="0" xfId="0" applyFont="1" applyFill="1" applyBorder="1"/>
    <xf numFmtId="0" fontId="3" fillId="4" borderId="0" xfId="0" applyFont="1" applyFill="1"/>
    <xf numFmtId="0" fontId="3" fillId="4" borderId="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8"/>
  <sheetViews>
    <sheetView showGridLines="0" tabSelected="1" zoomScaleNormal="100" zoomScaleSheetLayoutView="90" workbookViewId="0">
      <selection activeCell="C6" sqref="C6:F6"/>
    </sheetView>
  </sheetViews>
  <sheetFormatPr defaultRowHeight="12" x14ac:dyDescent="0.2"/>
  <cols>
    <col min="1" max="1" width="3.28515625" style="2" customWidth="1"/>
    <col min="2" max="2" width="17.140625" style="2" customWidth="1"/>
    <col min="3" max="3" width="3.7109375" style="2" customWidth="1"/>
    <col min="4" max="4" width="14" style="2" customWidth="1"/>
    <col min="5" max="5" width="3.140625" style="2" customWidth="1"/>
    <col min="6" max="6" width="9.140625" style="2"/>
    <col min="7" max="7" width="3.42578125" style="2" customWidth="1"/>
    <col min="8" max="8" width="3.28515625" style="2" customWidth="1"/>
    <col min="9" max="9" width="16" style="2" customWidth="1"/>
    <col min="10" max="10" width="1" style="2" customWidth="1"/>
    <col min="11" max="11" width="3.28515625" style="2" customWidth="1"/>
    <col min="12" max="12" width="18.5703125" style="2" customWidth="1"/>
    <col min="13" max="16384" width="9.140625" style="2"/>
  </cols>
  <sheetData>
    <row r="1" spans="1:13" ht="17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17.25" customHeight="1" x14ac:dyDescent="0.2">
      <c r="A2" s="82" t="s">
        <v>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</row>
    <row r="3" spans="1:13" ht="3.75" customHeight="1" x14ac:dyDescent="0.2"/>
    <row r="4" spans="1:13" ht="3.75" customHeight="1" x14ac:dyDescent="0.2"/>
    <row r="5" spans="1:13" ht="3.75" customHeight="1" x14ac:dyDescent="0.2">
      <c r="G5" s="6"/>
    </row>
    <row r="6" spans="1:13" x14ac:dyDescent="0.2">
      <c r="A6" s="3" t="s">
        <v>66</v>
      </c>
      <c r="C6" s="79" t="str">
        <f>IF(Sheet1!B3=0,"",Sheet1!B3)</f>
        <v/>
      </c>
      <c r="D6" s="80"/>
      <c r="E6" s="80"/>
      <c r="F6" s="81"/>
      <c r="G6" s="36"/>
      <c r="H6" s="4"/>
      <c r="I6" s="75" t="s">
        <v>68</v>
      </c>
      <c r="J6" s="83"/>
      <c r="K6" s="83"/>
      <c r="L6" s="57" t="str">
        <f>IF(Sheet1!B4=0,"",Sheet1!B4)</f>
        <v/>
      </c>
    </row>
    <row r="7" spans="1:13" x14ac:dyDescent="0.2">
      <c r="A7" s="3"/>
      <c r="C7" s="36"/>
      <c r="D7" s="36"/>
      <c r="E7" s="36"/>
      <c r="F7" s="36"/>
      <c r="G7" s="36"/>
      <c r="H7" s="4"/>
      <c r="I7" s="16"/>
      <c r="J7" s="37"/>
      <c r="K7" s="37"/>
      <c r="L7" s="38"/>
    </row>
    <row r="8" spans="1:13" x14ac:dyDescent="0.2">
      <c r="A8" s="3" t="s">
        <v>67</v>
      </c>
      <c r="C8" s="79" t="str">
        <f>IF(Sheet1!B5=0,"",Sheet1!B5)</f>
        <v/>
      </c>
      <c r="D8" s="80"/>
      <c r="E8" s="80"/>
      <c r="F8" s="81"/>
      <c r="G8" s="5"/>
      <c r="I8" s="84" t="s">
        <v>1</v>
      </c>
      <c r="J8" s="84"/>
      <c r="K8" s="84"/>
      <c r="L8" s="57" t="str">
        <f>IF(Sheet1!B7=0,"",Sheet1!B7)</f>
        <v/>
      </c>
    </row>
    <row r="9" spans="1:13" s="6" customFormat="1" x14ac:dyDescent="0.2">
      <c r="A9" s="18"/>
      <c r="C9" s="36"/>
      <c r="D9" s="36"/>
      <c r="E9" s="36"/>
      <c r="F9" s="36"/>
      <c r="G9" s="5"/>
      <c r="I9" s="35"/>
      <c r="J9" s="35"/>
      <c r="K9" s="35"/>
      <c r="L9" s="39"/>
    </row>
    <row r="10" spans="1:13" ht="16.5" customHeight="1" x14ac:dyDescent="0.2">
      <c r="A10" s="75" t="s">
        <v>2</v>
      </c>
      <c r="B10" s="75"/>
      <c r="C10" s="79" t="str">
        <f>IF(Sheet1!B8=0,"",Sheet1!B8)</f>
        <v/>
      </c>
      <c r="D10" s="80"/>
      <c r="E10" s="80"/>
      <c r="F10" s="80"/>
      <c r="G10" s="80"/>
      <c r="H10" s="80"/>
      <c r="I10" s="80"/>
      <c r="J10" s="80"/>
      <c r="K10" s="80"/>
      <c r="L10" s="81"/>
    </row>
    <row r="11" spans="1:13" ht="16.5" customHeight="1" x14ac:dyDescent="0.2">
      <c r="A11" s="69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spans="1:13" ht="16.5" customHeight="1" x14ac:dyDescent="0.2">
      <c r="A12" s="69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</row>
    <row r="13" spans="1:13" x14ac:dyDescent="0.2">
      <c r="A13" s="7" t="s">
        <v>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3" ht="27.75" customHeight="1" x14ac:dyDescent="0.2">
      <c r="A14" s="70" t="s">
        <v>4</v>
      </c>
      <c r="B14" s="71"/>
      <c r="C14" s="9" t="str">
        <f>IF(ISNUMBER(SEARCH(D14,Sheet1!B9)),"x","")</f>
        <v/>
      </c>
      <c r="D14" s="47" t="s">
        <v>5</v>
      </c>
      <c r="E14" s="9" t="str">
        <f>IF(ISNUMBER(SEARCH(F14,Sheet1!B9)),"x","")</f>
        <v/>
      </c>
      <c r="F14" s="15" t="s">
        <v>6</v>
      </c>
      <c r="G14" s="3"/>
      <c r="H14" s="9" t="str">
        <f>IF(ISNUMBER(SEARCH(I14,Sheet1!B9)),"x","")</f>
        <v/>
      </c>
      <c r="I14" s="15" t="s">
        <v>7</v>
      </c>
      <c r="K14" s="9" t="str">
        <f>IF(ISNUMBER(SEARCH(L14,Sheet1!B9)),"x","")</f>
        <v/>
      </c>
      <c r="L14" s="15" t="s">
        <v>65</v>
      </c>
      <c r="M14" s="11"/>
    </row>
    <row r="15" spans="1:13" s="6" customFormat="1" ht="11.25" customHeight="1" x14ac:dyDescent="0.2">
      <c r="A15" s="12"/>
      <c r="B15" s="12"/>
      <c r="C15" s="13"/>
      <c r="D15" s="18"/>
      <c r="E15" s="13"/>
      <c r="F15" s="19"/>
      <c r="G15" s="18"/>
      <c r="H15" s="13"/>
      <c r="I15" s="19"/>
      <c r="K15" s="13"/>
      <c r="L15" s="19"/>
      <c r="M15" s="22"/>
    </row>
    <row r="16" spans="1:13" ht="27.75" customHeight="1" x14ac:dyDescent="0.2">
      <c r="A16" s="12"/>
      <c r="B16" s="48" t="s">
        <v>69</v>
      </c>
      <c r="C16" s="9" t="str">
        <f>IF(ISNUMBER(SEARCH(B16,Sheet1!B9)),"x","")</f>
        <v/>
      </c>
      <c r="D16" s="3"/>
      <c r="E16" s="78" t="str">
        <f>IF(Sheet1!B39=0,"",Sheet1!B39)</f>
        <v/>
      </c>
      <c r="F16" s="78"/>
      <c r="G16" s="78"/>
      <c r="H16" s="78"/>
      <c r="I16" s="78"/>
      <c r="J16" s="78"/>
      <c r="K16" s="78"/>
      <c r="L16" s="10"/>
      <c r="M16" s="11"/>
    </row>
    <row r="17" spans="1:13" ht="8.25" customHeight="1" x14ac:dyDescent="0.2">
      <c r="A17" s="12"/>
      <c r="B17" s="12"/>
      <c r="C17" s="13"/>
      <c r="D17" s="3"/>
      <c r="E17" s="13"/>
      <c r="F17" s="10"/>
      <c r="G17" s="3"/>
      <c r="H17" s="13"/>
      <c r="I17" s="10"/>
      <c r="K17" s="14"/>
      <c r="L17" s="15"/>
      <c r="M17" s="11"/>
    </row>
    <row r="18" spans="1:13" ht="27.75" customHeight="1" x14ac:dyDescent="0.2">
      <c r="A18" s="16"/>
      <c r="B18" s="45" t="s">
        <v>8</v>
      </c>
      <c r="C18" s="41"/>
      <c r="D18" s="40"/>
      <c r="E18" s="42"/>
      <c r="F18" s="43"/>
      <c r="G18" s="18"/>
      <c r="H18" s="9" t="str">
        <f>IF(I18=Sheet1!B11,"x","")</f>
        <v/>
      </c>
      <c r="I18" s="49" t="s">
        <v>9</v>
      </c>
      <c r="J18" s="6"/>
      <c r="K18" s="9" t="str">
        <f>IF(L18=Sheet1!B11,"x","")</f>
        <v/>
      </c>
      <c r="L18" s="49" t="s">
        <v>10</v>
      </c>
      <c r="M18" s="20"/>
    </row>
    <row r="19" spans="1:13" ht="16.5" customHeight="1" x14ac:dyDescent="0.2">
      <c r="A19" s="16"/>
      <c r="B19" s="45"/>
      <c r="C19" s="41"/>
      <c r="D19" s="40"/>
      <c r="E19" s="42"/>
      <c r="F19" s="43"/>
      <c r="G19" s="18"/>
      <c r="H19" s="13"/>
      <c r="I19" s="19"/>
      <c r="J19" s="6"/>
      <c r="K19" s="13"/>
      <c r="L19" s="19"/>
      <c r="M19" s="20"/>
    </row>
    <row r="20" spans="1:13" ht="27.75" customHeight="1" x14ac:dyDescent="0.2">
      <c r="A20" s="16"/>
      <c r="B20" s="46" t="s">
        <v>11</v>
      </c>
      <c r="C20" s="44"/>
      <c r="D20" s="44"/>
      <c r="E20" s="44"/>
      <c r="F20" s="44"/>
      <c r="G20" s="79" t="str">
        <f>IF(Sheet1!B12=0,"",Sheet1!B12)</f>
        <v/>
      </c>
      <c r="H20" s="80"/>
      <c r="I20" s="80"/>
      <c r="J20" s="80"/>
      <c r="K20" s="80"/>
      <c r="L20" s="81"/>
      <c r="M20" s="11"/>
    </row>
    <row r="21" spans="1:13" ht="3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22"/>
      <c r="L21" s="22"/>
      <c r="M21" s="11"/>
    </row>
    <row r="22" spans="1:13" ht="18" customHeight="1" x14ac:dyDescent="0.2">
      <c r="A22" s="70" t="s">
        <v>12</v>
      </c>
      <c r="B22" s="71"/>
      <c r="C22" s="9" t="str">
        <f>IF(ISNUMBER(SEARCH(D22,Sheet1!B13)),"x","")</f>
        <v/>
      </c>
      <c r="D22" s="47" t="s">
        <v>72</v>
      </c>
      <c r="E22" s="9" t="str">
        <f>IF(ISNUMBER(SEARCH(F22,Sheet1!B13)),"x","")</f>
        <v/>
      </c>
      <c r="F22" s="47" t="s">
        <v>73</v>
      </c>
      <c r="G22" s="3"/>
      <c r="H22" s="9" t="str">
        <f>IF(ISNUMBER(SEARCH(I22,Sheet1!B13)),"x","")</f>
        <v/>
      </c>
      <c r="I22" s="47" t="s">
        <v>74</v>
      </c>
      <c r="K22" s="23" t="str">
        <f>IF(ISNUMBER(SEARCH(L22,Sheet1!B13)),"x","")</f>
        <v/>
      </c>
      <c r="L22" s="15" t="s">
        <v>69</v>
      </c>
      <c r="M22" s="11"/>
    </row>
    <row r="23" spans="1:13" ht="16.5" customHeight="1" x14ac:dyDescent="0.2">
      <c r="A23" s="6"/>
      <c r="B23" s="21"/>
      <c r="C23" s="21"/>
      <c r="D23" s="21"/>
      <c r="E23" s="21"/>
      <c r="F23" s="21"/>
      <c r="G23" s="21"/>
      <c r="H23" s="21"/>
      <c r="I23" s="77" t="str">
        <f>IF(Sheet1!B40=0,"",Sheet1!B40)</f>
        <v/>
      </c>
      <c r="J23" s="77"/>
      <c r="K23" s="77"/>
      <c r="L23" s="77"/>
      <c r="M23" s="11"/>
    </row>
    <row r="24" spans="1:13" x14ac:dyDescent="0.2">
      <c r="A24" s="7" t="s">
        <v>13</v>
      </c>
      <c r="B24" s="8"/>
      <c r="C24" s="8"/>
      <c r="D24" s="8"/>
      <c r="E24" s="8"/>
      <c r="F24" s="8"/>
      <c r="G24" s="8"/>
      <c r="H24" s="8"/>
      <c r="I24" s="8"/>
      <c r="J24" s="8"/>
      <c r="K24" s="24"/>
      <c r="L24" s="24"/>
      <c r="M24" s="11"/>
    </row>
    <row r="25" spans="1:13" ht="18" customHeight="1" x14ac:dyDescent="0.2">
      <c r="A25" s="50" t="s">
        <v>14</v>
      </c>
      <c r="B25" s="50"/>
      <c r="C25" s="50"/>
      <c r="D25" s="47"/>
      <c r="G25" s="3"/>
      <c r="H25" s="9" t="str">
        <f>IF(ISNUMBER(SEARCH(I25,Sheet1!B15)),"x","")</f>
        <v/>
      </c>
      <c r="I25" s="47" t="s">
        <v>75</v>
      </c>
      <c r="K25" s="9" t="str">
        <f>IF(ISNUMBER(SEARCH(L25,Sheet1!B15)),"x","")</f>
        <v/>
      </c>
      <c r="L25" s="15" t="s">
        <v>70</v>
      </c>
      <c r="M25" s="11"/>
    </row>
    <row r="26" spans="1:13" ht="16.5" customHeight="1" x14ac:dyDescent="0.2">
      <c r="C26" s="6"/>
      <c r="F26" s="72"/>
      <c r="G26" s="72"/>
      <c r="H26" s="72"/>
      <c r="I26" s="72"/>
      <c r="J26" s="72"/>
      <c r="K26" s="73"/>
      <c r="L26" s="73"/>
      <c r="M26" s="11"/>
    </row>
    <row r="27" spans="1:13" ht="3.75" customHeight="1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22"/>
      <c r="L27" s="22"/>
      <c r="M27" s="11"/>
    </row>
    <row r="28" spans="1:13" ht="18" customHeight="1" x14ac:dyDescent="0.2">
      <c r="A28" s="70" t="s">
        <v>15</v>
      </c>
      <c r="B28" s="71" t="s">
        <v>15</v>
      </c>
      <c r="C28" s="9" t="str">
        <f>IF(ISNUMBER(SEARCH(D28,Sheet1!B17)),"x","")</f>
        <v/>
      </c>
      <c r="D28" s="47" t="s">
        <v>16</v>
      </c>
      <c r="E28" s="9" t="str">
        <f>IF(ISNUMBER(SEARCH(F28,Sheet1!B17)),"x","")</f>
        <v/>
      </c>
      <c r="F28" s="47" t="s">
        <v>17</v>
      </c>
      <c r="G28" s="3"/>
      <c r="H28" s="9" t="str">
        <f>IF(ISNUMBER(SEARCH(I28,Sheet1!B17)),"x","")</f>
        <v/>
      </c>
      <c r="I28" s="47" t="s">
        <v>18</v>
      </c>
      <c r="K28" s="23" t="str">
        <f>IF(ISNUMBER(SEARCH(L28,Sheet1!B17)),"x","")</f>
        <v/>
      </c>
      <c r="L28" s="15" t="s">
        <v>69</v>
      </c>
      <c r="M28" s="11"/>
    </row>
    <row r="29" spans="1:13" ht="16.5" customHeight="1" x14ac:dyDescent="0.2">
      <c r="A29" s="74" t="str">
        <f>IF(Sheet1!B58=0,"",Sheet1!B58)</f>
        <v/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</row>
    <row r="30" spans="1:13" ht="4.5" customHeight="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3" ht="15" customHeight="1" x14ac:dyDescent="0.2">
      <c r="A31" s="75" t="s">
        <v>19</v>
      </c>
      <c r="B31" s="75"/>
      <c r="C31" s="75"/>
      <c r="D31" s="55">
        <f>Sheet1!B19</f>
        <v>0</v>
      </c>
      <c r="E31" s="6"/>
      <c r="F31" s="16" t="s">
        <v>20</v>
      </c>
      <c r="G31" s="6"/>
      <c r="H31" s="6"/>
      <c r="I31" s="5"/>
      <c r="J31" s="6"/>
      <c r="K31" s="6"/>
      <c r="L31" s="25">
        <f>Sheet1!B21</f>
        <v>0</v>
      </c>
      <c r="M31" s="26"/>
    </row>
    <row r="32" spans="1:13" ht="15" customHeight="1" x14ac:dyDescent="0.2">
      <c r="A32" s="75" t="s">
        <v>21</v>
      </c>
      <c r="B32" s="75"/>
      <c r="C32" s="75"/>
      <c r="D32" s="25">
        <f>Sheet1!B20</f>
        <v>0</v>
      </c>
      <c r="E32" s="6"/>
      <c r="F32" s="16" t="s">
        <v>22</v>
      </c>
      <c r="G32" s="6"/>
      <c r="H32" s="6"/>
      <c r="I32" s="4"/>
      <c r="J32" s="6"/>
      <c r="K32" s="6"/>
      <c r="L32" s="25">
        <f>Sheet1!B22</f>
        <v>0</v>
      </c>
    </row>
    <row r="33" spans="1:13" ht="15" customHeight="1" x14ac:dyDescent="0.2">
      <c r="A33" s="16"/>
      <c r="B33" s="16"/>
      <c r="C33" s="16"/>
      <c r="D33" s="27"/>
      <c r="E33" s="6"/>
      <c r="F33" s="16"/>
      <c r="G33" s="6"/>
      <c r="H33" s="6"/>
      <c r="I33" s="4"/>
      <c r="J33" s="6"/>
      <c r="K33" s="6"/>
      <c r="L33" s="27"/>
    </row>
    <row r="34" spans="1:13" ht="5.25" customHeight="1" thickBot="1" x14ac:dyDescent="0.25">
      <c r="A34" s="28"/>
      <c r="B34" s="28"/>
      <c r="C34" s="28"/>
      <c r="D34" s="28"/>
      <c r="E34" s="28"/>
      <c r="F34" s="29"/>
      <c r="G34" s="29"/>
      <c r="H34" s="28"/>
      <c r="I34" s="28"/>
      <c r="J34" s="28"/>
      <c r="K34" s="28"/>
      <c r="L34" s="28"/>
    </row>
    <row r="35" spans="1:13" x14ac:dyDescent="0.2">
      <c r="A35" s="7" t="s">
        <v>23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3" x14ac:dyDescent="0.2">
      <c r="A36" s="9" t="str">
        <f>IF(ISNUMBER(SEARCH(B36,Sheet1!B23)),"x","")</f>
        <v/>
      </c>
      <c r="B36" s="18" t="s">
        <v>24</v>
      </c>
      <c r="C36" s="9" t="str">
        <f>IF(ISNUMBER(SEARCH(D36,Sheet1!B23)),"x","")</f>
        <v/>
      </c>
      <c r="D36" s="18" t="s">
        <v>25</v>
      </c>
      <c r="E36" s="9" t="str">
        <f>IF(ISNUMBER(SEARCH(F36,Sheet1!B23)),"x","")</f>
        <v/>
      </c>
      <c r="F36" s="16" t="s">
        <v>26</v>
      </c>
      <c r="G36" s="30"/>
      <c r="H36" s="9" t="str">
        <f>IF(ISNUMBER(SEARCH(I36,Sheet1!B23)),"x","")</f>
        <v/>
      </c>
      <c r="I36" s="18" t="s">
        <v>27</v>
      </c>
      <c r="J36" s="6"/>
      <c r="K36" s="9" t="str">
        <f>IF(ISNUMBER(SEARCH(L36,Sheet1!B23)),"x","")</f>
        <v/>
      </c>
      <c r="L36" s="18" t="s">
        <v>28</v>
      </c>
    </row>
    <row r="37" spans="1:13" x14ac:dyDescent="0.2">
      <c r="A37" s="9" t="str">
        <f>IF(ISNUMBER(SEARCH(B37,Sheet1!B23)),"x","")</f>
        <v/>
      </c>
      <c r="B37" s="18" t="s">
        <v>29</v>
      </c>
      <c r="C37" s="9" t="str">
        <f>IF(ISNUMBER(SEARCH(D37,Sheet1!B23)),"x","")</f>
        <v/>
      </c>
      <c r="D37" s="18" t="s">
        <v>30</v>
      </c>
      <c r="E37" s="6"/>
      <c r="F37" s="30"/>
      <c r="G37" s="30"/>
      <c r="H37" s="6"/>
      <c r="I37" s="6"/>
      <c r="J37" s="6"/>
      <c r="K37" s="6"/>
      <c r="L37" s="6"/>
    </row>
    <row r="38" spans="1:13" ht="7.5" customHeight="1" x14ac:dyDescent="0.2">
      <c r="A38" s="13"/>
      <c r="B38" s="18"/>
      <c r="C38" s="13"/>
      <c r="D38" s="18"/>
      <c r="E38" s="6"/>
      <c r="F38" s="30"/>
      <c r="G38" s="30"/>
      <c r="H38" s="6"/>
      <c r="I38" s="6"/>
      <c r="J38" s="6"/>
      <c r="K38" s="6"/>
      <c r="L38" s="6"/>
    </row>
    <row r="39" spans="1:13" x14ac:dyDescent="0.2">
      <c r="A39" s="7" t="s">
        <v>31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3" ht="3.75" customHeight="1" x14ac:dyDescent="0.2">
      <c r="A40" s="18"/>
      <c r="B40" s="3"/>
      <c r="C40" s="18"/>
      <c r="D40" s="3"/>
      <c r="E40" s="18"/>
      <c r="F40" s="3"/>
      <c r="G40" s="3"/>
      <c r="H40" s="18"/>
      <c r="I40" s="3"/>
      <c r="K40" s="18"/>
      <c r="L40" s="3"/>
    </row>
    <row r="41" spans="1:13" ht="15" customHeight="1" x14ac:dyDescent="0.2">
      <c r="A41" s="9" t="str">
        <f>IF(ISNUMBER(SEARCH(B41,Sheet1!B25)),"x","")</f>
        <v/>
      </c>
      <c r="B41" s="3" t="s">
        <v>76</v>
      </c>
      <c r="C41" s="9" t="str">
        <f>IF(ISNUMBER(SEARCH(D41,Sheet1!B25)),"x","")</f>
        <v/>
      </c>
      <c r="D41" s="3" t="s">
        <v>77</v>
      </c>
      <c r="E41" s="9" t="str">
        <f>IF(ISNUMBER(SEARCH(F41,Sheet1!B25)),"x","")</f>
        <v/>
      </c>
      <c r="F41" s="3" t="s">
        <v>78</v>
      </c>
      <c r="G41" s="3"/>
      <c r="H41" s="9" t="str">
        <f>IF(ISNUMBER(SEARCH(I41,Sheet1!B25)),"x","")</f>
        <v/>
      </c>
      <c r="I41" s="3" t="s">
        <v>79</v>
      </c>
      <c r="K41" s="9" t="str">
        <f>IF(ISNUMBER(SEARCH(L41,Sheet1!B25)),"x","")</f>
        <v/>
      </c>
      <c r="L41" s="3" t="s">
        <v>80</v>
      </c>
      <c r="M41" s="26"/>
    </row>
    <row r="42" spans="1:13" ht="3.75" customHeight="1" x14ac:dyDescent="0.2">
      <c r="A42" s="18"/>
      <c r="B42" s="3"/>
      <c r="C42" s="18"/>
      <c r="D42" s="3"/>
      <c r="E42" s="18"/>
      <c r="F42" s="3"/>
      <c r="G42" s="3"/>
      <c r="H42" s="18"/>
      <c r="I42" s="3"/>
      <c r="K42" s="18"/>
      <c r="L42" s="3"/>
    </row>
    <row r="43" spans="1:13" ht="15" customHeight="1" x14ac:dyDescent="0.2">
      <c r="A43" s="9" t="str">
        <f>IF(ISNUMBER(SEARCH(B43,Sheet1!B25)),"x","")</f>
        <v/>
      </c>
      <c r="B43" s="3" t="s">
        <v>81</v>
      </c>
      <c r="C43" s="9" t="str">
        <f>IF(ISNUMBER(SEARCH(D43,Sheet1!B25)),"x","")</f>
        <v/>
      </c>
      <c r="D43" s="3" t="s">
        <v>32</v>
      </c>
      <c r="E43" s="9" t="str">
        <f>IF(ISNUMBER(SEARCH(F43,Sheet1!B25)),"x","")</f>
        <v/>
      </c>
      <c r="F43" s="3" t="s">
        <v>83</v>
      </c>
      <c r="G43" s="3"/>
      <c r="H43" s="9" t="str">
        <f>IF(ISNUMBER(SEARCH(I43,Sheet1!B25)),"x","")</f>
        <v/>
      </c>
      <c r="I43" s="3" t="s">
        <v>87</v>
      </c>
      <c r="K43" s="13"/>
      <c r="L43" s="59" t="str">
        <f>IF(Sheet1!B59=0,"",Sheet1!B59)</f>
        <v/>
      </c>
    </row>
    <row r="44" spans="1:13" ht="3.75" customHeight="1" x14ac:dyDescent="0.2">
      <c r="A44" s="18"/>
      <c r="B44" s="3"/>
      <c r="C44" s="18"/>
      <c r="D44" s="3"/>
      <c r="E44" s="18"/>
      <c r="F44" s="3"/>
      <c r="G44" s="3"/>
      <c r="H44" s="18"/>
      <c r="I44" s="3"/>
      <c r="K44" s="18"/>
      <c r="L44" s="3"/>
    </row>
    <row r="45" spans="1:13" ht="15" customHeight="1" x14ac:dyDescent="0.2">
      <c r="A45" s="9" t="str">
        <f>IF(ISNUMBER(SEARCH(B45,Sheet1!B25)),"x","")</f>
        <v/>
      </c>
      <c r="B45" s="3" t="s">
        <v>82</v>
      </c>
      <c r="C45" s="9" t="str">
        <f>IF(ISNUMBER(SEARCH(D45,Sheet1!B25)),"x","")</f>
        <v/>
      </c>
      <c r="D45" s="3" t="s">
        <v>33</v>
      </c>
      <c r="E45" s="9" t="str">
        <f>IF(ISNUMBER(SEARCH(F45,Sheet1!B25)),"x","")</f>
        <v/>
      </c>
      <c r="F45" s="3" t="s">
        <v>84</v>
      </c>
      <c r="G45" s="3"/>
      <c r="H45" s="9" t="str">
        <f>IF(ISNUMBER(SEARCH(I45,Sheet1!B25)),"x","")</f>
        <v/>
      </c>
      <c r="I45" s="3" t="s">
        <v>85</v>
      </c>
      <c r="K45" s="9" t="str">
        <f>IF(ISNUMBER(SEARCH(L45,Sheet1!B25)),"x","")</f>
        <v/>
      </c>
      <c r="L45" s="3" t="s">
        <v>86</v>
      </c>
    </row>
    <row r="46" spans="1:13" ht="3.75" customHeight="1" x14ac:dyDescent="0.2">
      <c r="A46" s="18"/>
      <c r="B46" s="3"/>
      <c r="C46" s="18"/>
      <c r="D46" s="3"/>
      <c r="E46" s="18"/>
      <c r="F46" s="3"/>
      <c r="G46" s="3"/>
      <c r="H46" s="18"/>
      <c r="I46" s="3"/>
      <c r="K46" s="18"/>
      <c r="L46" s="3"/>
    </row>
    <row r="47" spans="1:13" x14ac:dyDescent="0.2">
      <c r="A47" s="7" t="s">
        <v>34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3" ht="3.75" customHeight="1" x14ac:dyDescent="0.2">
      <c r="A48" s="18"/>
      <c r="B48" s="3"/>
      <c r="C48" s="18"/>
      <c r="D48" s="3"/>
      <c r="E48" s="18"/>
      <c r="F48" s="3"/>
      <c r="G48" s="3"/>
      <c r="H48" s="18"/>
      <c r="I48" s="3"/>
      <c r="K48" s="18"/>
      <c r="L48" s="3"/>
    </row>
    <row r="49" spans="1:13" ht="15" customHeight="1" x14ac:dyDescent="0.2">
      <c r="A49" s="9" t="str">
        <f>IF(ISNUMBER(SEARCH(B49,Sheet1!B27)),"x","")</f>
        <v/>
      </c>
      <c r="B49" s="47" t="s">
        <v>88</v>
      </c>
      <c r="C49" s="9" t="str">
        <f>IF(ISNUMBER(SEARCH(D49,Sheet1!B27)),"x","")</f>
        <v/>
      </c>
      <c r="D49" s="47" t="s">
        <v>89</v>
      </c>
      <c r="E49" s="13"/>
      <c r="F49" s="13"/>
      <c r="G49" s="3"/>
      <c r="H49" s="9" t="str">
        <f>IF(ISNUMBER(SEARCH(I49,Sheet1!B27)),"x","")</f>
        <v/>
      </c>
      <c r="I49" s="47" t="s">
        <v>35</v>
      </c>
      <c r="K49" s="13"/>
      <c r="L49" s="3"/>
    </row>
    <row r="50" spans="1:13" ht="3" customHeight="1" x14ac:dyDescent="0.2">
      <c r="A50" s="13"/>
      <c r="B50" s="3"/>
      <c r="C50" s="13"/>
      <c r="D50" s="3"/>
      <c r="E50" s="13"/>
      <c r="F50" s="13"/>
      <c r="G50" s="3"/>
      <c r="H50" s="13"/>
      <c r="I50" s="3"/>
      <c r="K50" s="13"/>
      <c r="L50" s="3"/>
    </row>
    <row r="51" spans="1:13" x14ac:dyDescent="0.2">
      <c r="A51" s="9" t="str">
        <f>IF(ISNUMBER(SEARCH(B51,Sheet1!B27)),"x","")</f>
        <v/>
      </c>
      <c r="B51" s="10" t="s">
        <v>69</v>
      </c>
      <c r="C51" s="13"/>
      <c r="D51" s="76"/>
      <c r="E51" s="76"/>
      <c r="F51" s="76"/>
      <c r="G51" s="76"/>
      <c r="H51" s="76"/>
      <c r="I51" s="76"/>
      <c r="J51" s="76"/>
      <c r="K51" s="76"/>
      <c r="L51" s="76"/>
    </row>
    <row r="52" spans="1:13" ht="15" customHeight="1" x14ac:dyDescent="0.2">
      <c r="A52" s="13"/>
      <c r="B52" s="58" t="str">
        <f>IF(Sheet1!B60=0,"",Sheet1!B60)</f>
        <v/>
      </c>
      <c r="C52" s="32"/>
      <c r="D52" s="56"/>
      <c r="E52" s="18"/>
      <c r="F52" s="18"/>
      <c r="G52" s="18"/>
      <c r="H52" s="31"/>
      <c r="I52" s="18"/>
      <c r="J52" s="6"/>
      <c r="K52" s="6"/>
      <c r="L52" s="6"/>
    </row>
    <row r="53" spans="1:13" x14ac:dyDescent="0.2">
      <c r="A53" s="7" t="s">
        <v>36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3" ht="15.75" customHeight="1" x14ac:dyDescent="0.2">
      <c r="A54" s="3" t="s">
        <v>37</v>
      </c>
      <c r="B54" s="3"/>
      <c r="C54" s="3"/>
      <c r="D54" s="3"/>
      <c r="E54" s="3"/>
      <c r="F54" s="3"/>
      <c r="G54" s="3"/>
      <c r="H54" s="9" t="str">
        <f>IF(Sheet1!I54="True","x","")</f>
        <v/>
      </c>
      <c r="I54" s="3" t="s">
        <v>38</v>
      </c>
    </row>
    <row r="55" spans="1:13" ht="9" customHeight="1" x14ac:dyDescent="0.2">
      <c r="A55" s="3"/>
      <c r="B55" s="3"/>
      <c r="C55" s="3"/>
      <c r="D55" s="3"/>
      <c r="E55" s="3"/>
      <c r="F55" s="3"/>
      <c r="G55" s="3"/>
    </row>
    <row r="56" spans="1:13" ht="15" customHeight="1" x14ac:dyDescent="0.2">
      <c r="A56" s="9" t="str">
        <f>IF(ISNUMBER(SEARCH(B56,Sheet1!B30)),"x","")</f>
        <v/>
      </c>
      <c r="B56" s="50" t="s">
        <v>90</v>
      </c>
      <c r="C56" s="9" t="str">
        <f>IF(ISNUMBER(SEARCH(D56,Sheet1!B30)),"x","")</f>
        <v/>
      </c>
      <c r="D56" s="50" t="s">
        <v>91</v>
      </c>
      <c r="E56" s="9" t="str">
        <f>IF(ISNUMBER(SEARCH(F56,Sheet1!B30)),"x","")</f>
        <v/>
      </c>
      <c r="F56" s="50" t="s">
        <v>92</v>
      </c>
      <c r="G56" s="3"/>
      <c r="H56" s="9" t="str">
        <f>IF(ISNUMBER(SEARCH(I56,Sheet1!B30)),"x","")</f>
        <v/>
      </c>
      <c r="I56" s="50" t="s">
        <v>93</v>
      </c>
      <c r="K56" s="9" t="str">
        <f>IF(ISNUMBER(SEARCH(L56,Sheet1!B30)),"x","")</f>
        <v/>
      </c>
      <c r="L56" s="50" t="s">
        <v>94</v>
      </c>
    </row>
    <row r="57" spans="1:13" ht="3.75" customHeight="1" x14ac:dyDescent="0.2">
      <c r="A57" s="18"/>
      <c r="B57" s="3"/>
      <c r="C57" s="18"/>
      <c r="D57" s="3"/>
      <c r="E57" s="18"/>
      <c r="F57" s="3"/>
      <c r="G57" s="3"/>
      <c r="H57" s="18"/>
      <c r="I57" s="3"/>
      <c r="K57" s="18"/>
      <c r="L57" s="3"/>
    </row>
    <row r="58" spans="1:13" ht="15" customHeight="1" x14ac:dyDescent="0.2">
      <c r="A58" s="9" t="str">
        <f>IF(ISNUMBER(SEARCH(B58,Sheet1!B30)),"x","")</f>
        <v/>
      </c>
      <c r="B58" s="50" t="s">
        <v>69</v>
      </c>
      <c r="C58" s="18"/>
      <c r="D58" s="78" t="str">
        <f>IF(Sheet1!B61=0,"",Sheet1!B61)</f>
        <v/>
      </c>
      <c r="E58" s="78"/>
      <c r="F58" s="78"/>
      <c r="G58" s="78"/>
      <c r="H58" s="78"/>
      <c r="I58" s="78"/>
      <c r="K58" s="50"/>
      <c r="L58" s="50"/>
    </row>
    <row r="59" spans="1:13" ht="3.75" customHeight="1" x14ac:dyDescent="0.2">
      <c r="A59" s="18"/>
      <c r="B59" s="3"/>
      <c r="C59" s="18"/>
      <c r="D59" s="3"/>
      <c r="E59" s="18"/>
      <c r="F59" s="3"/>
      <c r="G59" s="3"/>
      <c r="H59" s="18"/>
      <c r="I59" s="3"/>
      <c r="K59" s="18"/>
      <c r="L59" s="3"/>
    </row>
    <row r="60" spans="1:13" ht="15" customHeight="1" x14ac:dyDescent="0.2">
      <c r="A60" s="3" t="s">
        <v>39</v>
      </c>
      <c r="B60" s="3"/>
      <c r="C60" s="3"/>
      <c r="D60" s="3"/>
      <c r="E60" s="3"/>
      <c r="F60" s="3"/>
      <c r="G60" s="3"/>
      <c r="H60" s="9" t="str">
        <f>IF(I60=Sheet1!B33,"x","")</f>
        <v/>
      </c>
      <c r="I60" s="3" t="s">
        <v>95</v>
      </c>
      <c r="J60" s="26"/>
      <c r="K60" s="9" t="str">
        <f>IF(L60=Sheet1!B33,"x","")</f>
        <v/>
      </c>
      <c r="L60" s="3" t="s">
        <v>96</v>
      </c>
      <c r="M60" s="26"/>
    </row>
    <row r="61" spans="1:13" ht="6" customHeight="1" x14ac:dyDescent="0.2">
      <c r="A61" s="3"/>
      <c r="B61" s="3"/>
      <c r="C61" s="3"/>
      <c r="D61" s="3"/>
      <c r="E61" s="3"/>
      <c r="F61" s="3"/>
      <c r="G61" s="3"/>
    </row>
    <row r="62" spans="1:13" ht="24" x14ac:dyDescent="0.2">
      <c r="A62" s="9" t="str">
        <f>IF(B62=Sheet1!B33,"x","")</f>
        <v/>
      </c>
      <c r="B62" s="17" t="s">
        <v>71</v>
      </c>
      <c r="C62" s="9" t="str">
        <f>IF(D62=Sheet1!B33,"x","")</f>
        <v/>
      </c>
      <c r="D62" s="50" t="s">
        <v>69</v>
      </c>
      <c r="E62" s="18"/>
      <c r="F62" s="18"/>
      <c r="G62" s="3"/>
      <c r="H62" s="13"/>
    </row>
    <row r="63" spans="1:13" ht="15" customHeight="1" x14ac:dyDescent="0.2">
      <c r="C63" s="6"/>
      <c r="D63" s="78" t="str">
        <f>IF(Sheet1!B62=0,"",Sheet1!B62)</f>
        <v/>
      </c>
      <c r="E63" s="78"/>
      <c r="F63" s="78"/>
      <c r="G63" s="78"/>
      <c r="H63" s="78"/>
    </row>
    <row r="64" spans="1:13" ht="2.25" customHeight="1" x14ac:dyDescent="0.2">
      <c r="A64" s="18"/>
      <c r="B64" s="3"/>
      <c r="C64" s="18"/>
      <c r="D64" s="3"/>
      <c r="E64" s="18"/>
      <c r="F64" s="3"/>
      <c r="G64" s="3"/>
      <c r="H64" s="18"/>
      <c r="I64" s="3"/>
      <c r="K64" s="18"/>
      <c r="L64" s="3"/>
    </row>
    <row r="65" spans="1:13" ht="3.75" customHeight="1" x14ac:dyDescent="0.2">
      <c r="A65" s="18"/>
      <c r="B65" s="3"/>
      <c r="C65" s="18"/>
      <c r="D65" s="3"/>
      <c r="E65" s="18"/>
      <c r="F65" s="3"/>
      <c r="G65" s="3"/>
      <c r="H65" s="18"/>
      <c r="I65" s="3"/>
      <c r="K65" s="18"/>
      <c r="L65" s="3"/>
    </row>
    <row r="66" spans="1:13" ht="15.75" customHeight="1" x14ac:dyDescent="0.2">
      <c r="A66" s="33" t="s">
        <v>41</v>
      </c>
      <c r="H66" s="9" t="str">
        <f>IF(Sheet1!B35="True","x","")</f>
        <v/>
      </c>
      <c r="I66" s="3" t="s">
        <v>42</v>
      </c>
      <c r="K66" s="9" t="str">
        <f>IF(Sheet1!B35="False","x","")</f>
        <v/>
      </c>
      <c r="L66" s="3" t="s">
        <v>40</v>
      </c>
      <c r="M66" s="26"/>
    </row>
    <row r="67" spans="1:13" ht="3.75" customHeight="1" x14ac:dyDescent="0.2">
      <c r="A67" s="18"/>
      <c r="B67" s="3"/>
      <c r="C67" s="18"/>
      <c r="D67" s="3"/>
      <c r="E67" s="18"/>
      <c r="F67" s="3"/>
      <c r="G67" s="3"/>
      <c r="H67" s="18"/>
      <c r="I67" s="3"/>
      <c r="K67" s="18"/>
      <c r="L67" s="3"/>
    </row>
    <row r="68" spans="1:13" ht="15.75" customHeight="1" x14ac:dyDescent="0.2">
      <c r="A68" s="33" t="s">
        <v>43</v>
      </c>
      <c r="H68" s="9" t="str">
        <f>IF(Sheet1!B36="True","x","")</f>
        <v/>
      </c>
      <c r="I68" s="3" t="s">
        <v>42</v>
      </c>
      <c r="K68" s="9" t="str">
        <f>IF(Sheet1!B36="False","x","")</f>
        <v/>
      </c>
      <c r="L68" s="3" t="s">
        <v>40</v>
      </c>
    </row>
    <row r="69" spans="1:13" x14ac:dyDescent="0.2">
      <c r="A69" s="34" t="s">
        <v>44</v>
      </c>
    </row>
    <row r="70" spans="1:13" ht="6.75" customHeight="1" x14ac:dyDescent="0.2"/>
    <row r="71" spans="1:13" x14ac:dyDescent="0.2">
      <c r="A71" s="7" t="s">
        <v>45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</row>
    <row r="72" spans="1:13" ht="6.75" customHeight="1" x14ac:dyDescent="0.2"/>
    <row r="73" spans="1:13" ht="22.5" customHeight="1" x14ac:dyDescent="0.2">
      <c r="A73" s="68" t="s">
        <v>46</v>
      </c>
      <c r="B73" s="68"/>
      <c r="C73" s="68"/>
      <c r="D73" s="68"/>
      <c r="E73" s="68"/>
      <c r="F73" s="68"/>
      <c r="H73" s="9" t="str">
        <f>IF(Sheet1!B37="True","x","")</f>
        <v/>
      </c>
      <c r="I73" s="3" t="s">
        <v>42</v>
      </c>
      <c r="K73" s="9" t="str">
        <f>IF(Sheet1!B37="False","x","")</f>
        <v/>
      </c>
      <c r="L73" s="3" t="s">
        <v>40</v>
      </c>
      <c r="M73" s="26"/>
    </row>
    <row r="74" spans="1:13" ht="6.75" customHeight="1" x14ac:dyDescent="0.2"/>
    <row r="75" spans="1:13" x14ac:dyDescent="0.2">
      <c r="A75" s="7" t="s">
        <v>47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spans="1:13" ht="15.75" customHeight="1" x14ac:dyDescent="0.2">
      <c r="A76" s="2" t="s">
        <v>48</v>
      </c>
      <c r="H76" s="9" t="str">
        <f>IF(Sheet1!B38="True","x","")</f>
        <v/>
      </c>
      <c r="I76" s="3" t="s">
        <v>42</v>
      </c>
      <c r="K76" s="9" t="str">
        <f>IF(Sheet1!B38="False","x","")</f>
        <v/>
      </c>
      <c r="L76" s="3" t="s">
        <v>40</v>
      </c>
    </row>
    <row r="77" spans="1:13" ht="6.75" customHeight="1" x14ac:dyDescent="0.2"/>
    <row r="78" spans="1:13" ht="6.75" customHeight="1" x14ac:dyDescent="0.2"/>
    <row r="79" spans="1:13" ht="6.75" customHeight="1" x14ac:dyDescent="0.2"/>
    <row r="80" spans="1:13" ht="6.75" customHeight="1" x14ac:dyDescent="0.2"/>
    <row r="81" spans="1:12" ht="21.75" customHeight="1" x14ac:dyDescent="0.2">
      <c r="A81" s="65" t="s">
        <v>49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</row>
    <row r="82" spans="1:12" ht="19.5" customHeight="1" x14ac:dyDescent="0.2"/>
    <row r="83" spans="1:12" x14ac:dyDescent="0.2">
      <c r="A83" s="18" t="s">
        <v>50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1:12" x14ac:dyDescent="0.2">
      <c r="A84" s="64" t="str">
        <f>IF(Sheet1!B63=0,"",Sheet1!B63)</f>
        <v/>
      </c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</row>
    <row r="85" spans="1:12" x14ac:dyDescent="0.2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</row>
    <row r="86" spans="1:12" x14ac:dyDescent="0.2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</row>
    <row r="87" spans="1:12" x14ac:dyDescent="0.2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</row>
    <row r="88" spans="1:12" ht="13.5" hidden="1" customHeight="1" x14ac:dyDescent="0.2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</row>
    <row r="89" spans="1:12" ht="9" customHeight="1" x14ac:dyDescent="0.2"/>
    <row r="90" spans="1:12" x14ac:dyDescent="0.2">
      <c r="A90" s="18" t="s">
        <v>51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ht="45" customHeight="1" x14ac:dyDescent="0.2">
      <c r="A91" s="64" t="str">
        <f>IF(Sheet1!B64=0,"",Sheet1!B64)</f>
        <v/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</row>
    <row r="92" spans="1:12" ht="39.75" customHeight="1" x14ac:dyDescent="0.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</row>
    <row r="93" spans="1:12" ht="32.25" customHeight="1" x14ac:dyDescent="0.2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</row>
    <row r="94" spans="1:12" x14ac:dyDescent="0.2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</row>
    <row r="95" spans="1:12" ht="9" customHeight="1" x14ac:dyDescent="0.2"/>
    <row r="96" spans="1:12" x14ac:dyDescent="0.2">
      <c r="A96" s="18" t="s">
        <v>52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">
      <c r="A97" s="64" t="str">
        <f>IF(Sheet1!B41=0,"",Sheet1!B41)</f>
        <v/>
      </c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</row>
    <row r="98" spans="1:12" x14ac:dyDescent="0.2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</row>
    <row r="99" spans="1:12" x14ac:dyDescent="0.2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</row>
    <row r="100" spans="1:12" x14ac:dyDescent="0.2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</row>
    <row r="101" spans="1:12" ht="9" customHeight="1" x14ac:dyDescent="0.2"/>
    <row r="102" spans="1:12" x14ac:dyDescent="0.2">
      <c r="A102" s="18" t="s">
        <v>53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2">
      <c r="A103" s="64" t="str">
        <f>IF(Sheet1!B42=0,"",Sheet1!B42)</f>
        <v/>
      </c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</row>
    <row r="104" spans="1:12" x14ac:dyDescent="0.2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</row>
    <row r="105" spans="1:12" x14ac:dyDescent="0.2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</row>
    <row r="106" spans="1:12" x14ac:dyDescent="0.2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</row>
    <row r="107" spans="1:12" ht="9" customHeight="1" x14ac:dyDescent="0.2"/>
    <row r="108" spans="1:12" x14ac:dyDescent="0.2">
      <c r="A108" s="18" t="s">
        <v>54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">
      <c r="A109" s="64" t="str">
        <f>IF(Sheet1!B43=0,"",Sheet1!B43)</f>
        <v/>
      </c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</row>
    <row r="110" spans="1:12" x14ac:dyDescent="0.2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</row>
    <row r="111" spans="1:12" x14ac:dyDescent="0.2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</row>
    <row r="112" spans="1:12" x14ac:dyDescent="0.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</row>
    <row r="113" spans="1:12" ht="9" customHeight="1" x14ac:dyDescent="0.2"/>
    <row r="114" spans="1:12" x14ac:dyDescent="0.2">
      <c r="A114" s="18" t="s">
        <v>55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ht="30.75" customHeight="1" x14ac:dyDescent="0.2">
      <c r="A115" s="62" t="str">
        <f>IF(Sheet1!B44=0,"",Sheet1!B44)</f>
        <v/>
      </c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</row>
    <row r="116" spans="1:12" ht="30.75" customHeight="1" x14ac:dyDescent="0.2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</row>
    <row r="117" spans="1:12" ht="30.75" customHeight="1" x14ac:dyDescent="0.2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</row>
    <row r="118" spans="1:12" ht="30.75" customHeight="1" x14ac:dyDescent="0.2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</row>
    <row r="119" spans="1:12" ht="30.75" customHeight="1" x14ac:dyDescent="0.2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</row>
    <row r="120" spans="1:12" ht="9" customHeight="1" x14ac:dyDescent="0.2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</row>
    <row r="121" spans="1:12" x14ac:dyDescent="0.2">
      <c r="A121" s="52" t="s">
        <v>56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</row>
    <row r="122" spans="1:12" x14ac:dyDescent="0.2">
      <c r="A122" s="62" t="str">
        <f>IF(Sheet1!B45=0,"",Sheet1!B45)</f>
        <v/>
      </c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</row>
    <row r="123" spans="1:12" x14ac:dyDescent="0.2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</row>
    <row r="124" spans="1:12" x14ac:dyDescent="0.2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</row>
    <row r="125" spans="1:12" x14ac:dyDescent="0.2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</row>
    <row r="126" spans="1:12" x14ac:dyDescent="0.2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</row>
    <row r="127" spans="1:12" ht="14.25" customHeight="1" x14ac:dyDescent="0.2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</row>
    <row r="128" spans="1:12" hidden="1" x14ac:dyDescent="0.2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</row>
    <row r="129" spans="1:12" hidden="1" x14ac:dyDescent="0.2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</row>
    <row r="130" spans="1:12" x14ac:dyDescent="0.2">
      <c r="A130" s="52" t="s">
        <v>57</v>
      </c>
      <c r="B130" s="44"/>
      <c r="C130" s="44"/>
      <c r="D130" s="44"/>
      <c r="E130" s="51"/>
      <c r="F130" s="51"/>
      <c r="G130" s="51"/>
      <c r="H130" s="51"/>
      <c r="I130" s="51"/>
      <c r="J130" s="51"/>
      <c r="K130" s="51"/>
      <c r="L130" s="53"/>
    </row>
    <row r="131" spans="1:12" x14ac:dyDescent="0.2">
      <c r="A131" s="52" t="s">
        <v>58</v>
      </c>
      <c r="B131" s="44"/>
      <c r="C131" s="44"/>
      <c r="D131" s="44"/>
      <c r="E131" s="51"/>
      <c r="F131" s="51"/>
      <c r="G131" s="51"/>
      <c r="H131" s="51"/>
      <c r="I131" s="51"/>
      <c r="J131" s="51"/>
      <c r="K131" s="51"/>
      <c r="L131" s="53"/>
    </row>
    <row r="132" spans="1:12" x14ac:dyDescent="0.2">
      <c r="A132" s="67" t="str">
        <f>IF(Sheet1!B46=0,"",Sheet1!B46)</f>
        <v/>
      </c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</row>
    <row r="133" spans="1:12" x14ac:dyDescent="0.2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</row>
    <row r="134" spans="1:12" x14ac:dyDescent="0.2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</row>
    <row r="135" spans="1:12" x14ac:dyDescent="0.2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</row>
    <row r="136" spans="1:12" x14ac:dyDescent="0.2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</row>
    <row r="137" spans="1:12" x14ac:dyDescent="0.2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</row>
    <row r="138" spans="1:12" x14ac:dyDescent="0.2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</row>
    <row r="139" spans="1:12" ht="12" customHeight="1" x14ac:dyDescent="0.2">
      <c r="A139" s="52" t="s">
        <v>59</v>
      </c>
      <c r="B139" s="44"/>
      <c r="C139" s="60"/>
      <c r="D139" s="61" t="str">
        <f>IF(Sheet1!B48="False","No",IF(Sheet1!B48="True","Yes",""))</f>
        <v/>
      </c>
      <c r="E139" s="51"/>
      <c r="F139" s="51"/>
      <c r="G139" s="51"/>
      <c r="H139" s="51"/>
      <c r="I139" s="51"/>
      <c r="J139" s="51"/>
      <c r="K139" s="51"/>
      <c r="L139" s="51"/>
    </row>
    <row r="140" spans="1:12" ht="12" customHeight="1" x14ac:dyDescent="0.2">
      <c r="A140" s="54" t="s">
        <v>60</v>
      </c>
      <c r="B140" s="51"/>
      <c r="C140" s="61"/>
      <c r="D140" s="61" t="str">
        <f>IF(Sheet1!B49="False","No",IF(Sheet1!B49="True","Yes",""))</f>
        <v/>
      </c>
      <c r="E140" s="51"/>
      <c r="F140" s="51"/>
      <c r="G140" s="51"/>
      <c r="H140" s="51"/>
      <c r="I140" s="51"/>
      <c r="J140" s="51"/>
      <c r="K140" s="51"/>
      <c r="L140" s="51"/>
    </row>
    <row r="141" spans="1:12" ht="12" customHeight="1" x14ac:dyDescent="0.2">
      <c r="A141" s="54" t="s">
        <v>61</v>
      </c>
      <c r="B141" s="51"/>
      <c r="C141" s="51"/>
      <c r="D141" s="51"/>
      <c r="E141" s="51"/>
      <c r="F141" s="61" t="str">
        <f>IF(Sheet1!B50="False","No",IF(Sheet1!B50="True","Yes",""))</f>
        <v/>
      </c>
      <c r="G141" s="51"/>
      <c r="H141" s="51"/>
      <c r="I141" s="51"/>
      <c r="J141" s="51"/>
      <c r="K141" s="51"/>
      <c r="L141" s="51"/>
    </row>
    <row r="142" spans="1:12" ht="12" customHeight="1" x14ac:dyDescent="0.2">
      <c r="A142" s="54" t="s">
        <v>62</v>
      </c>
      <c r="B142" s="51"/>
      <c r="C142" s="51"/>
      <c r="D142" s="51"/>
      <c r="E142" s="51"/>
      <c r="F142" s="61" t="str">
        <f>IF(Sheet1!B51="False","No",IF(Sheet1!B51="True","Yes",""))</f>
        <v/>
      </c>
      <c r="G142" s="51"/>
      <c r="H142" s="51"/>
      <c r="I142" s="51"/>
      <c r="J142" s="51"/>
      <c r="K142" s="51"/>
      <c r="L142" s="51"/>
    </row>
    <row r="143" spans="1:12" x14ac:dyDescent="0.2">
      <c r="A143" s="54" t="s">
        <v>63</v>
      </c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61" t="str">
        <f>IF(Sheet1!B52=0,"",Sheet1!B52)</f>
        <v/>
      </c>
    </row>
    <row r="144" spans="1:12" x14ac:dyDescent="0.2">
      <c r="A144" s="52"/>
      <c r="B144" s="44"/>
      <c r="C144" s="44"/>
      <c r="D144" s="51"/>
      <c r="E144" s="51"/>
      <c r="F144" s="51"/>
      <c r="G144" s="51"/>
      <c r="H144" s="51"/>
      <c r="I144" s="51"/>
      <c r="J144" s="51"/>
      <c r="K144" s="51"/>
      <c r="L144" s="51"/>
    </row>
    <row r="145" spans="1:12" x14ac:dyDescent="0.2">
      <c r="A145" s="18"/>
      <c r="B145" s="6"/>
      <c r="C145" s="6"/>
    </row>
    <row r="150" spans="1:12" x14ac:dyDescent="0.2">
      <c r="A150" s="18" t="s">
        <v>64</v>
      </c>
      <c r="B150" s="6"/>
      <c r="C150" s="6"/>
    </row>
    <row r="151" spans="1:12" x14ac:dyDescent="0.2">
      <c r="A151" s="64" t="str">
        <f>IF(Sheet1!B53=0,"",Sheet1!B53)</f>
        <v/>
      </c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</row>
    <row r="152" spans="1:12" x14ac:dyDescent="0.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</row>
    <row r="153" spans="1:12" x14ac:dyDescent="0.2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</row>
    <row r="154" spans="1:12" x14ac:dyDescent="0.2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</row>
    <row r="155" spans="1:12" x14ac:dyDescent="0.2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</row>
    <row r="156" spans="1:12" x14ac:dyDescent="0.2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</row>
    <row r="157" spans="1:12" x14ac:dyDescent="0.2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</row>
    <row r="158" spans="1:12" x14ac:dyDescent="0.2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</row>
  </sheetData>
  <mergeCells count="33">
    <mergeCell ref="C10:L10"/>
    <mergeCell ref="C6:F6"/>
    <mergeCell ref="G20:L20"/>
    <mergeCell ref="E16:K16"/>
    <mergeCell ref="A2:L2"/>
    <mergeCell ref="I6:K6"/>
    <mergeCell ref="C8:F8"/>
    <mergeCell ref="I8:K8"/>
    <mergeCell ref="A10:B10"/>
    <mergeCell ref="A73:F73"/>
    <mergeCell ref="A11:L12"/>
    <mergeCell ref="A14:B14"/>
    <mergeCell ref="A22:B22"/>
    <mergeCell ref="F26:J26"/>
    <mergeCell ref="K26:L26"/>
    <mergeCell ref="A28:B28"/>
    <mergeCell ref="A29:L29"/>
    <mergeCell ref="A31:C31"/>
    <mergeCell ref="A32:C32"/>
    <mergeCell ref="D51:L51"/>
    <mergeCell ref="I23:L23"/>
    <mergeCell ref="D58:I58"/>
    <mergeCell ref="D63:H63"/>
    <mergeCell ref="A115:L119"/>
    <mergeCell ref="A122:L129"/>
    <mergeCell ref="A151:L158"/>
    <mergeCell ref="A81:L81"/>
    <mergeCell ref="A84:L88"/>
    <mergeCell ref="A91:L94"/>
    <mergeCell ref="A97:L100"/>
    <mergeCell ref="A103:L106"/>
    <mergeCell ref="A109:L112"/>
    <mergeCell ref="A132:L138"/>
  </mergeCells>
  <pageMargins left="0.7" right="0.7" top="0.75" bottom="0.75" header="0.3" footer="0.3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6" sqref="A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Cognizant Technology Solutions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satish</cp:lastModifiedBy>
  <cp:lastPrinted>2019-03-14T14:07:12Z</cp:lastPrinted>
  <dcterms:created xsi:type="dcterms:W3CDTF">2019-03-14T14:06:45Z</dcterms:created>
  <dcterms:modified xsi:type="dcterms:W3CDTF">2019-05-31T06:24:51Z</dcterms:modified>
</cp:coreProperties>
</file>