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hoMail\docs\Misc\"/>
    </mc:Choice>
  </mc:AlternateContent>
  <xr:revisionPtr revIDLastSave="0" documentId="13_ncr:1_{FA70930F-BA83-482E-9D32-4D047FDC3B5D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4" sheetId="4" r:id="rId1"/>
    <sheet name="Queries" sheetId="2" r:id="rId2"/>
    <sheet name="LayoutDesign" sheetId="5" r:id="rId3"/>
    <sheet name="Sheet7" sheetId="7" r:id="rId4"/>
    <sheet name="PackageCombination" sheetId="8" r:id="rId5"/>
    <sheet name="NordisPageCountDistri" sheetId="9" r:id="rId6"/>
    <sheet name="Sheet1" sheetId="10" r:id="rId7"/>
  </sheets>
  <definedNames>
    <definedName name="_xlnm._FilterDatabase" localSheetId="0" hidden="1">Sheet4!$A$1:$T$50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38" i="4" l="1"/>
  <c r="T33" i="4"/>
  <c r="T28" i="4"/>
  <c r="T23" i="4"/>
  <c r="J48" i="4"/>
  <c r="T48" i="4" l="1"/>
  <c r="T45" i="4"/>
  <c r="J45" i="4"/>
  <c r="T42" i="4"/>
  <c r="J42" i="4"/>
  <c r="T20" i="4"/>
  <c r="T12" i="4"/>
  <c r="T2" i="4"/>
  <c r="J2" i="4"/>
  <c r="O45" i="8"/>
  <c r="O30" i="8"/>
  <c r="O25" i="8"/>
  <c r="O20" i="8"/>
  <c r="O14" i="8"/>
  <c r="O7" i="8"/>
  <c r="J47" i="8" l="1"/>
  <c r="O40" i="8"/>
  <c r="J40" i="8"/>
  <c r="O38" i="8"/>
  <c r="J38" i="8"/>
  <c r="O36" i="8"/>
  <c r="J36" i="8"/>
  <c r="O3" i="8"/>
  <c r="J3" i="8"/>
  <c r="T10" i="4" l="1"/>
  <c r="T40" i="4"/>
  <c r="T35" i="4"/>
  <c r="T30" i="4"/>
  <c r="T25" i="4"/>
  <c r="T19" i="4"/>
  <c r="O44" i="8"/>
  <c r="J46" i="8"/>
  <c r="O34" i="8"/>
  <c r="O29" i="8"/>
  <c r="O24" i="8"/>
  <c r="O19" i="8"/>
  <c r="O15" i="8"/>
  <c r="O8" i="8"/>
  <c r="O9" i="8"/>
  <c r="O41" i="8" l="1"/>
  <c r="O42" i="8"/>
  <c r="O43" i="8"/>
  <c r="O31" i="8"/>
  <c r="O32" i="8"/>
  <c r="O28" i="8"/>
  <c r="O27" i="8"/>
  <c r="O23" i="8"/>
  <c r="O22" i="8"/>
  <c r="O18" i="8"/>
  <c r="O17" i="8"/>
  <c r="O11" i="8"/>
  <c r="O13" i="8"/>
  <c r="O5" i="8"/>
  <c r="O4" i="8" l="1"/>
  <c r="O39" i="8" l="1"/>
  <c r="J39" i="8"/>
  <c r="O37" i="8"/>
  <c r="J37" i="8"/>
  <c r="O35" i="8"/>
  <c r="J35" i="8"/>
  <c r="O33" i="8"/>
  <c r="O26" i="8"/>
  <c r="O21" i="8"/>
  <c r="O16" i="8"/>
  <c r="O12" i="8"/>
  <c r="O10" i="8"/>
  <c r="O6" i="8"/>
  <c r="O2" i="8"/>
  <c r="J2" i="8"/>
  <c r="J50" i="4" l="1"/>
  <c r="J44" i="4"/>
  <c r="J47" i="4"/>
  <c r="J5" i="4"/>
  <c r="J4" i="4"/>
  <c r="T50" i="4"/>
  <c r="T49" i="4"/>
  <c r="T16" i="4"/>
  <c r="T15" i="4"/>
  <c r="T14" i="4"/>
  <c r="T41" i="4"/>
  <c r="T39" i="4"/>
  <c r="T37" i="4"/>
  <c r="T36" i="4"/>
  <c r="T34" i="4"/>
  <c r="T32" i="4"/>
  <c r="T31" i="4"/>
  <c r="T29" i="4"/>
  <c r="T27" i="4"/>
  <c r="T26" i="4"/>
  <c r="T24" i="4"/>
  <c r="T22" i="4"/>
  <c r="T13" i="4"/>
  <c r="T11" i="4"/>
  <c r="T9" i="4"/>
  <c r="T21" i="4"/>
  <c r="T18" i="4"/>
  <c r="T17" i="4"/>
  <c r="T44" i="4"/>
  <c r="T43" i="4"/>
  <c r="T47" i="4"/>
  <c r="T46" i="4"/>
  <c r="T8" i="4"/>
  <c r="T7" i="4"/>
  <c r="T6" i="4"/>
  <c r="T5" i="4"/>
  <c r="T4" i="4"/>
  <c r="T3" i="4"/>
  <c r="E18" i="5"/>
  <c r="E17" i="5"/>
  <c r="J49" i="4"/>
  <c r="J43" i="4"/>
  <c r="J46" i="4"/>
  <c r="J3" i="4"/>
</calcChain>
</file>

<file path=xl/sharedStrings.xml><?xml version="1.0" encoding="utf-8"?>
<sst xmlns="http://schemas.openxmlformats.org/spreadsheetml/2006/main" count="1065" uniqueCount="189">
  <si>
    <t>IMB</t>
  </si>
  <si>
    <t>Envelope</t>
  </si>
  <si>
    <t>9x12</t>
  </si>
  <si>
    <t>BOTW</t>
  </si>
  <si>
    <t>HSBC</t>
  </si>
  <si>
    <t>EnvelopeId</t>
  </si>
  <si>
    <t>Generic part no</t>
  </si>
  <si>
    <t>CL_S_9_12</t>
  </si>
  <si>
    <t>BOTW_F_9_12</t>
  </si>
  <si>
    <t>Query after 1 jan 2019</t>
  </si>
  <si>
    <t>MixMedia</t>
  </si>
  <si>
    <t>LETTER-IP</t>
  </si>
  <si>
    <t>ShippingMethod</t>
  </si>
  <si>
    <t>ShippingServiceType</t>
  </si>
  <si>
    <t>PRIORITY_OVERNIGHT</t>
  </si>
  <si>
    <t>ClientCode</t>
  </si>
  <si>
    <t>PieceId</t>
  </si>
  <si>
    <t>JobId</t>
  </si>
  <si>
    <t>FileName</t>
  </si>
  <si>
    <t>DueDate</t>
  </si>
  <si>
    <t>TotalSheets</t>
  </si>
  <si>
    <t>TotalImages</t>
  </si>
  <si>
    <t>EnvelopePartNo</t>
  </si>
  <si>
    <t>EnvelopeDesc</t>
  </si>
  <si>
    <t>BREPartNo</t>
  </si>
  <si>
    <t>BREDesc</t>
  </si>
  <si>
    <t>PaperSize</t>
  </si>
  <si>
    <t>QCReqd</t>
  </si>
  <si>
    <t>USPS</t>
  </si>
  <si>
    <t>PRIORITY</t>
  </si>
  <si>
    <t>USPS_PRIORITY</t>
  </si>
  <si>
    <t>USAA_S_10</t>
  </si>
  <si>
    <t>Max PageCount</t>
  </si>
  <si>
    <t>CL_S_6_9</t>
  </si>
  <si>
    <t>select MAX(TotalPages) from vDVExp WHERE EnvPartNo LIKE '%9_12'</t>
  </si>
  <si>
    <t>PRIORITY_EXPRESS</t>
  </si>
  <si>
    <t>select MAX(TotalPages) from vDVExp WHERE EffectiveReceivedOnEst &gt;='2019-01-01' AND ShippingServiceType='PRIORITY_EXPRESS'</t>
  </si>
  <si>
    <t>select MAX(TotalPages) from vDVExp WHERE EffectiveReceivedOnEst &gt;='2019-01-01' AND ShippingServiceType='PRIORITY'</t>
  </si>
  <si>
    <t>select MAX(TotalPages) from vDVExp WHERE EffectiveReceivedOnEst &gt;='2019-01-01' AND ShippingServiceType='PRIORITY_OVERNIGHT'</t>
  </si>
  <si>
    <t>Before jan we have 129 as max page count</t>
  </si>
  <si>
    <t>Remark</t>
  </si>
  <si>
    <t>Query</t>
  </si>
  <si>
    <t>select MAX(TotalPages) from vDVExp WHERE EffectiveReceivedOnEst &gt;='2019-01-01' AND EnvPartNo = 'CL_S_9_12'</t>
  </si>
  <si>
    <t>184 is is max for 9x12 (select MAX(TotalPages) from vDVExp WHERE EffectiveReceivedOnEst &gt;='2019-01-01' AND EnvPartNo LIKE '%9_12')</t>
  </si>
  <si>
    <t>select MAX(TotalPages) from vDVExp WHERE EffectiveReceivedOnEst &gt;='2019-01-01' AND EnvPartNo = 'BOTW_F_9_12'</t>
  </si>
  <si>
    <t>select MAX(TotalPages) from vDVExp WHERE EffectiveReceivedOnEst &gt;='2019-01-01' AND EnvPartNo = 'CL_S_6_9'</t>
  </si>
  <si>
    <t>select MAX(TotalPages) from vDVExp WHERE EffectiveReceivedOnEst &gt;='2019-01-01' AND EnvPartNo = 'USAA_S_10'</t>
  </si>
  <si>
    <t>BOTW_B_10_13</t>
  </si>
  <si>
    <t>USPS_PRIORITY_EXPRESS</t>
  </si>
  <si>
    <t>HSBC_B_9_12</t>
  </si>
  <si>
    <t>ShippingCarrier</t>
  </si>
  <si>
    <t>FedEx</t>
  </si>
  <si>
    <t>Document Type Name</t>
  </si>
  <si>
    <t>textbox</t>
  </si>
  <si>
    <t>Page Range</t>
  </si>
  <si>
    <t>From</t>
  </si>
  <si>
    <t>To</t>
  </si>
  <si>
    <t>ServiceType</t>
  </si>
  <si>
    <t>dd</t>
  </si>
  <si>
    <t>BREeNVELOPE</t>
  </si>
  <si>
    <t>*</t>
  </si>
  <si>
    <t>optonal</t>
  </si>
  <si>
    <t>Fall Back</t>
  </si>
  <si>
    <t>PO</t>
  </si>
  <si>
    <t>USPS PRIORITY EXPRESS</t>
  </si>
  <si>
    <t>USPS PRIORITY</t>
  </si>
  <si>
    <t>CHECKBOX</t>
  </si>
  <si>
    <t>DocType|ShippingCarrier_ShippingServiceType|EnvelopePartNo</t>
  </si>
  <si>
    <t>Pre Approvel</t>
  </si>
  <si>
    <t>PreApproval</t>
  </si>
  <si>
    <t>select DISTINCT ShippingCarrier,ShippingServiceType,EnvelopeId,BREEnvelopeId,PrintSize from AM.DocTypes WHERE IsActive=1</t>
  </si>
  <si>
    <t>select DISTINCT PERCENTILE_CONT(0.75) WITHIN GROUP(ORDER BY TotalPages) OVER () AS MEDIAN FROM vDVExp WHERE EffectiveReceivedOnEst &gt;='2019-01-01' AND ShippingStatus='Shipped'  AND ShippingServiceType='PRIORITY_EXPRESS'</t>
  </si>
  <si>
    <t>select MAX(TotalPages),MIN(TotalPages) from vDVExp WHERE EffectiveReceivedOnEst &gt;='2019-01-01'  AND ShippingStatus='Shipped' AND ShippingServiceType='PRIORITY_EXPRESS'</t>
  </si>
  <si>
    <t>select DISTINCT PERCENTILE_CONT(0.75) WITHIN GROUP(ORDER BY TotalPages) OVER () AS MEDIAN FROM vDVExp WHERE EffectiveReceivedOnEst &gt;='2019-01-01' AND ShippingStatus='Shipped'  AND EnvPartNo LIKE '%9_12' AND BREEnvPartNo LIKE '%9_12'</t>
  </si>
  <si>
    <t xml:space="preserve">select MAX(TotalPages),MIN(TotalPages) from vDVExp WHERE EffectiveReceivedOnEst &gt;='2019-01-01'  AND ShippingStatus='Shipped' AND EnvPartNo LIKE '%9_12' AND BREEnvPartNo LIKE '%9_12' </t>
  </si>
  <si>
    <t>TrailName</t>
  </si>
  <si>
    <t>SLADays</t>
  </si>
  <si>
    <t>SAMEDAY</t>
  </si>
  <si>
    <t>NEXTDAY</t>
  </si>
  <si>
    <t>USAA</t>
  </si>
  <si>
    <t>ALASKA</t>
  </si>
  <si>
    <t>CITIVM</t>
  </si>
  <si>
    <t>RPS</t>
  </si>
  <si>
    <t>GOS</t>
  </si>
  <si>
    <t>FedEx_PRIORITY_OVERNIGHT</t>
  </si>
  <si>
    <t>LETTER-RC</t>
  </si>
  <si>
    <t>select DISTINCT PERCENTILE_CONT(0.75) WITHIN GROUP(ORDER BY TotalPages) OVER () AS MEDIAN FROM vDVExp WHERE EffectiveReceivedOnEst &gt;='2019-01-01' AND ShippingStatus='Shipped'  AND ShippingServiceType='PRIORITY_OVERNIGHT'</t>
  </si>
  <si>
    <t>select MAX(TotalPages),MIN(TotalPages) from vDVExp WHERE EffectiveReceivedOnEst &gt;='2019-01-01'  AND ShippingStatus='Shipped' AND ShippingServiceType='PRIORITY_OVERNIGHT'</t>
  </si>
  <si>
    <t xml:space="preserve">select DISTINCT PERCENTILE_CONT(0.75) WITHIN GROUP(ORDER BY TotalPages) OVER () AS MEDIAN FROM vDVExp WHERE EffectiveReceivedOnEst &gt;='2019-01-01' AND ShippingStatus='Shipped'  AND EnvPartNo LIKE '%S_10' </t>
  </si>
  <si>
    <t>select MAX(TotalPages),MIN(TotalPages) from vDVExp WHERE EffectiveReceivedOnEst &gt;='2019-01-01'  AND ShippingStatus='Shipped' AND EnvPartNo LIKE '%S_10'</t>
  </si>
  <si>
    <t>y</t>
  </si>
  <si>
    <t>NA</t>
  </si>
  <si>
    <t>PrintFormat</t>
  </si>
  <si>
    <t>Simplex</t>
  </si>
  <si>
    <t>CLEnvelopeDesc</t>
  </si>
  <si>
    <t>CLBREDesc</t>
  </si>
  <si>
    <t>CL Envelope Codes</t>
  </si>
  <si>
    <t>Nordis Envelope Item#</t>
  </si>
  <si>
    <t>Nordis Envelope Description</t>
  </si>
  <si>
    <t>FedEx Envelope with Cut Out Window</t>
  </si>
  <si>
    <t>9 x 12 Window Envelope on 24# White Wove (No Printing)</t>
  </si>
  <si>
    <t>9 x 12 BRE on 24# White Wove / Prints 1/0 Black Ink</t>
  </si>
  <si>
    <t>USPS  Priority Mail Window Flat Rate (full display)</t>
  </si>
  <si>
    <t>USPS Express w/ Full Window</t>
  </si>
  <si>
    <t>USAA Outer Envelope</t>
  </si>
  <si>
    <t>6 x 9.5 DBL Window Envelope (Supplier Standard Inventory)</t>
  </si>
  <si>
    <t>#10</t>
  </si>
  <si>
    <t>USPS Priority Mail Flat Rate Envelope</t>
  </si>
  <si>
    <t>#10 DBL Window Envelope w/ Inside Security Tint on 24# White Wove / No Printing (Supplier Standard Inventory)</t>
  </si>
  <si>
    <t>FIRSTCLASS</t>
  </si>
  <si>
    <t>Min Page #20</t>
  </si>
  <si>
    <t>Max Page #20</t>
  </si>
  <si>
    <t>#10 Envelope</t>
  </si>
  <si>
    <t>6 x 9.5 Envelope</t>
  </si>
  <si>
    <t>10 x 12 Envelope</t>
  </si>
  <si>
    <t>Envelope Size</t>
  </si>
  <si>
    <t>20# Paper</t>
  </si>
  <si>
    <t>24# Paper</t>
  </si>
  <si>
    <t>1-7 sheets</t>
  </si>
  <si>
    <t>1-6 sheets</t>
  </si>
  <si>
    <t>8-10 sheets</t>
  </si>
  <si>
    <t>7-9 sheets</t>
  </si>
  <si>
    <t>11+ sheets (90 max)</t>
  </si>
  <si>
    <t>10+ sheets (75 max)</t>
  </si>
  <si>
    <t>Shipping Envelope (USPS/FedEx)</t>
  </si>
  <si>
    <t>160 sheets</t>
  </si>
  <si>
    <t>150 sheets</t>
  </si>
  <si>
    <t>HSBC-BRE Envelope</t>
  </si>
  <si>
    <t>BOTW-BRE Envelope</t>
  </si>
  <si>
    <t>10 x 15 Tyvek Envelope (No Printing)</t>
  </si>
  <si>
    <t>1208636_(4000007425)[Closing Disclosure Print and Ship].PDF</t>
  </si>
  <si>
    <t>1164309_124900000190110.pdf</t>
  </si>
  <si>
    <t>1213186_122900000190229.pdf</t>
  </si>
  <si>
    <t>1201024_122300000190439.pdf</t>
  </si>
  <si>
    <t>1219559_127500000193841.pdf</t>
  </si>
  <si>
    <t>1213024_8000R_OR.pdf</t>
  </si>
  <si>
    <t xml:space="preserve">FedEx Large Pak 12 x 15 ½ </t>
  </si>
  <si>
    <t>USPS Priority Mail Express Tyvek Envelope</t>
  </si>
  <si>
    <t>USPS Priority Mail Tyvek</t>
  </si>
  <si>
    <t>#10 DBL Window Tint</t>
  </si>
  <si>
    <t>6x9.5 DBL Window</t>
  </si>
  <si>
    <t>10x15 Tyvek</t>
  </si>
  <si>
    <t>???</t>
  </si>
  <si>
    <t>9x12 Window</t>
  </si>
  <si>
    <t>AppCode</t>
  </si>
  <si>
    <t>PrintSize</t>
  </si>
  <si>
    <t>IsBRE</t>
  </si>
  <si>
    <t>1092916_125265005564153.pdf</t>
  </si>
  <si>
    <t>1079720_126100000179091.pdf</t>
  </si>
  <si>
    <t>1155299_7698R_OR.pdf</t>
  </si>
  <si>
    <t>1092485_989039R_AC.pdf</t>
  </si>
  <si>
    <t>1092400_999039R_AC.pdf</t>
  </si>
  <si>
    <t>1163276_1000394R_OR.pdf</t>
  </si>
  <si>
    <t>1082047_(4000010160)[Initial Disclosures Package Print Ship].PDF</t>
  </si>
  <si>
    <t>1079053_(4000008420)[Initial Disclosures Package Print Ship].PDF</t>
  </si>
  <si>
    <t>1112047_(4000015160)[Disclosures Package Print Ship].pdf</t>
  </si>
  <si>
    <t>1184063_(4000011130)[Adverse Action Package Print and Ship].pdf</t>
  </si>
  <si>
    <t>1107777_126300000181919.pdf</t>
  </si>
  <si>
    <t>1108375_128400000149292.pdf</t>
  </si>
  <si>
    <t>1113803_125700000183898.pdf</t>
  </si>
  <si>
    <t>1076872_125700000180657.pdf</t>
  </si>
  <si>
    <t>1123001_121400000151963.pdf</t>
  </si>
  <si>
    <t>1123168_120800000153872.pdf</t>
  </si>
  <si>
    <t>1081257_121900000178897.pdf</t>
  </si>
  <si>
    <t>1081335_127300000180697.pdf</t>
  </si>
  <si>
    <t>1081508_127800000146955.pdf</t>
  </si>
  <si>
    <t>1095931_120700000185809.pdf</t>
  </si>
  <si>
    <t>1096187_123700000181152.pdf</t>
  </si>
  <si>
    <t>1096658_125700000182266.pdf</t>
  </si>
  <si>
    <t>1126148_120800250153872.pdf</t>
  </si>
  <si>
    <t>1096568_125700000182184.pdf</t>
  </si>
  <si>
    <t>1134322_125700000444448.pdf</t>
  </si>
  <si>
    <t>1221508_127800000155845.pdf</t>
  </si>
  <si>
    <t>1152262_125300000155482.pdf</t>
  </si>
  <si>
    <t>1106012_125300000179082.pdf</t>
  </si>
  <si>
    <t>1090964_122000000149660.pdf</t>
  </si>
  <si>
    <t>1152652_125300008986565.pdf</t>
  </si>
  <si>
    <t>1123128_124400000151099.pdf</t>
  </si>
  <si>
    <t>1185555_125500014542522.pdf</t>
  </si>
  <si>
    <t>1169315_125500000182522.pdf</t>
  </si>
  <si>
    <t>1170102_123100000186549.pdf</t>
  </si>
  <si>
    <t>1093380_125400000148677.pdf</t>
  </si>
  <si>
    <t>1148324_126700000186190.pdf</t>
  </si>
  <si>
    <t>1080073_125800000148614.pdf</t>
  </si>
  <si>
    <t>1080175_125800000148699.pdf</t>
  </si>
  <si>
    <t>1081178_122000000148985.pdf</t>
  </si>
  <si>
    <t>1163276_10003942323.pdf</t>
  </si>
  <si>
    <t>1084999_15263009334.pdf</t>
  </si>
  <si>
    <t>1154999_12121095230.pdf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</si>
</sst>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4472C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/>
    <xf numFmtId="0" fontId="0" fillId="0" borderId="1" xfId="0" applyBorder="1"/>
    <xf numFmtId="0" fontId="0" fillId="2" borderId="1" xfId="0" applyFill="1" applyBorder="1"/>
    <xf numFmtId="0" fontId="1" fillId="0" borderId="1" xfId="1" applyBorder="1"/>
    <xf numFmtId="0" fontId="2" fillId="0" borderId="1" xfId="1" applyFont="1" applyBorder="1"/>
    <xf numFmtId="0" fontId="0" fillId="0" borderId="1" xfId="0" applyBorder="1" applyAlignment="1">
      <alignment horizontal="right"/>
    </xf>
    <xf numFmtId="1" fontId="0" fillId="0" borderId="1" xfId="0" applyNumberFormat="1" applyBorder="1"/>
    <xf numFmtId="1" fontId="0" fillId="0" borderId="1" xfId="0" applyNumberFormat="1" applyBorder="1" applyAlignment="1">
      <alignment horizontal="right"/>
    </xf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0" xfId="0" applyAlignment="1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2" borderId="1" xfId="0" applyFill="1" applyBorder="1" applyAlignment="1">
      <alignment horizontal="right"/>
    </xf>
    <xf numFmtId="1" fontId="0" fillId="2" borderId="1" xfId="0" applyNumberFormat="1" applyFill="1" applyBorder="1" applyAlignment="1">
      <alignment horizontal="right"/>
    </xf>
    <xf numFmtId="0" fontId="1" fillId="3" borderId="1" xfId="1" applyFill="1" applyBorder="1"/>
    <xf numFmtId="0" fontId="0" fillId="3" borderId="1" xfId="0" applyFill="1" applyBorder="1"/>
    <xf numFmtId="22" fontId="0" fillId="3" borderId="1" xfId="0" applyNumberFormat="1" applyFill="1" applyBorder="1"/>
    <xf numFmtId="22" fontId="0" fillId="0" borderId="1" xfId="0" applyNumberFormat="1" applyBorder="1"/>
    <xf numFmtId="0" fontId="0" fillId="4" borderId="1" xfId="0" applyFill="1" applyBorder="1"/>
    <xf numFmtId="1" fontId="0" fillId="4" borderId="1" xfId="0" applyNumberFormat="1" applyFill="1" applyBorder="1"/>
    <xf numFmtId="0" fontId="1" fillId="4" borderId="1" xfId="1" applyFill="1" applyBorder="1"/>
  </cellXfs>
  <cellStyles count="3">
    <cellStyle name="Currency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"/>
  <sheetViews>
    <sheetView tabSelected="1" workbookViewId="0">
      <pane ySplit="1" topLeftCell="A7" activePane="bottomLeft" state="frozen"/>
      <selection pane="bottomLeft" activeCell="C7" sqref="C7"/>
    </sheetView>
  </sheetViews>
  <sheetFormatPr defaultColWidth="14.7109375" defaultRowHeight="15" x14ac:dyDescent="0.25"/>
  <cols>
    <col min="1" max="1" width="6" style="3" bestFit="1" customWidth="1"/>
    <col min="2" max="2" width="15.85546875" style="3" bestFit="1" customWidth="1"/>
    <col min="3" max="3" width="20.7109375" style="3" bestFit="1" customWidth="1"/>
    <col min="4" max="4" width="8" style="3" bestFit="1" customWidth="1"/>
    <col min="5" max="5" width="60.85546875" style="3" bestFit="1" customWidth="1"/>
    <col min="6" max="6" width="15.5703125" style="3" customWidth="1"/>
    <col min="7" max="7" width="10.85546875" style="3" bestFit="1" customWidth="1"/>
    <col min="8" max="8" width="9.5703125" style="3" customWidth="1"/>
    <col min="9" max="9" width="15.5703125" style="3" bestFit="1" customWidth="1"/>
    <col min="10" max="10" width="27.28515625" style="3" customWidth="1"/>
    <col min="11" max="11" width="57.42578125" style="3" bestFit="1" customWidth="1"/>
    <col min="12" max="12" width="10.42578125" style="3" bestFit="1" customWidth="1"/>
    <col min="13" max="13" width="14.7109375" style="3" customWidth="1"/>
    <col min="14" max="14" width="19.7109375" style="3" customWidth="1"/>
    <col min="15" max="15" width="10" style="3" customWidth="1"/>
    <col min="16" max="16" width="11.5703125" style="3" customWidth="1"/>
    <col min="17" max="17" width="11.42578125" style="3" bestFit="1" customWidth="1"/>
    <col min="18" max="18" width="11.7109375" style="3" bestFit="1" customWidth="1"/>
    <col min="19" max="19" width="8.140625" style="3" bestFit="1" customWidth="1"/>
    <col min="20" max="20" width="37.140625" style="3" bestFit="1" customWidth="1"/>
    <col min="21" max="16384" width="14.7109375" style="3"/>
  </cols>
  <sheetData>
    <row r="1" spans="1:20" x14ac:dyDescent="0.25">
      <c r="A1" s="3" t="s">
        <v>17</v>
      </c>
      <c r="B1" s="3" t="s">
        <v>12</v>
      </c>
      <c r="C1" s="3" t="s">
        <v>13</v>
      </c>
      <c r="D1" s="3" t="s">
        <v>16</v>
      </c>
      <c r="E1" s="3" t="s">
        <v>18</v>
      </c>
      <c r="F1" s="3" t="s">
        <v>19</v>
      </c>
      <c r="G1" s="3" t="s">
        <v>15</v>
      </c>
      <c r="H1" s="3" t="s">
        <v>76</v>
      </c>
      <c r="I1" s="3" t="s">
        <v>22</v>
      </c>
      <c r="J1" s="3" t="s">
        <v>94</v>
      </c>
      <c r="K1" s="3" t="s">
        <v>23</v>
      </c>
      <c r="L1" s="3" t="s">
        <v>24</v>
      </c>
      <c r="M1" s="3" t="s">
        <v>95</v>
      </c>
      <c r="N1" s="3" t="s">
        <v>25</v>
      </c>
      <c r="O1" s="3" t="s">
        <v>26</v>
      </c>
      <c r="P1" s="3" t="s">
        <v>92</v>
      </c>
      <c r="Q1" s="3" t="s">
        <v>20</v>
      </c>
      <c r="R1" s="3" t="s">
        <v>21</v>
      </c>
      <c r="S1" s="3" t="s">
        <v>27</v>
      </c>
      <c r="T1" s="3" t="s">
        <v>75</v>
      </c>
    </row>
    <row r="2" spans="1:20" s="19" customFormat="1" ht="15.75" x14ac:dyDescent="0.25">
      <c r="A2" s="19">
        <v>10001</v>
      </c>
      <c r="B2" s="19" t="s">
        <v>51</v>
      </c>
      <c r="C2" s="19" t="s">
        <v>14</v>
      </c>
      <c r="D2" s="19">
        <v>1092916</v>
      </c>
      <c r="E2" s="19" t="s">
        <v>147</v>
      </c>
      <c r="F2" s="20">
        <v>43704.999988425923</v>
      </c>
      <c r="G2" s="19" t="s">
        <v>79</v>
      </c>
      <c r="H2" s="19" t="s">
        <v>77</v>
      </c>
      <c r="I2" s="19">
        <v>24714</v>
      </c>
      <c r="J2" s="19" t="str">
        <f>B2&amp;"_"&amp;C2</f>
        <v>FedEx_PRIORITY_OVERNIGHT</v>
      </c>
      <c r="K2" s="18" t="s">
        <v>136</v>
      </c>
      <c r="O2" s="19" t="s">
        <v>85</v>
      </c>
      <c r="P2" s="19" t="s">
        <v>93</v>
      </c>
      <c r="Q2" s="19">
        <v>191</v>
      </c>
      <c r="R2" s="19">
        <v>191</v>
      </c>
      <c r="S2" s="19" t="b">
        <v>0</v>
      </c>
      <c r="T2" s="19" t="str">
        <f>B2&amp;"_"&amp;C2&amp;"_"&amp;H2</f>
        <v>FedEx_PRIORITY_OVERNIGHT_SAMEDAY</v>
      </c>
    </row>
    <row r="3" spans="1:20" ht="15.75" x14ac:dyDescent="0.25">
      <c r="A3" s="3">
        <v>10001</v>
      </c>
      <c r="B3" s="3" t="s">
        <v>51</v>
      </c>
      <c r="C3" s="3" t="s">
        <v>14</v>
      </c>
      <c r="D3" s="3">
        <v>1093380</v>
      </c>
      <c r="E3" s="3" t="s">
        <v>181</v>
      </c>
      <c r="F3" s="20">
        <v>43704.999988425923</v>
      </c>
      <c r="G3" s="3" t="s">
        <v>79</v>
      </c>
      <c r="H3" s="3" t="s">
        <v>77</v>
      </c>
      <c r="I3" s="3">
        <v>24658</v>
      </c>
      <c r="J3" s="3" t="str">
        <f>B3&amp;"_"&amp;C3</f>
        <v>FedEx_PRIORITY_OVERNIGHT</v>
      </c>
      <c r="K3" s="5" t="s">
        <v>99</v>
      </c>
      <c r="O3" s="3" t="s">
        <v>85</v>
      </c>
      <c r="P3" s="3" t="s">
        <v>93</v>
      </c>
      <c r="Q3" s="3">
        <v>160</v>
      </c>
      <c r="R3" s="3">
        <v>160</v>
      </c>
      <c r="S3" s="3" t="b">
        <v>0</v>
      </c>
      <c r="T3" s="3" t="str">
        <f>B3&amp;"_"&amp;C3&amp;"_"&amp;H3</f>
        <v>FedEx_PRIORITY_OVERNIGHT_SAMEDAY</v>
      </c>
    </row>
    <row r="4" spans="1:20" ht="15.75" x14ac:dyDescent="0.25">
      <c r="A4" s="3">
        <v>10001</v>
      </c>
      <c r="B4" s="3" t="s">
        <v>51</v>
      </c>
      <c r="C4" s="3" t="s">
        <v>14</v>
      </c>
      <c r="D4" s="3">
        <v>1148324</v>
      </c>
      <c r="E4" s="3" t="s">
        <v>182</v>
      </c>
      <c r="F4" s="20">
        <v>43704.999988425923</v>
      </c>
      <c r="G4" s="3" t="s">
        <v>79</v>
      </c>
      <c r="H4" s="3" t="s">
        <v>77</v>
      </c>
      <c r="I4" s="3">
        <v>24658</v>
      </c>
      <c r="J4" s="3" t="str">
        <f>B4&amp;"_"&amp;C4</f>
        <v>FedEx_PRIORITY_OVERNIGHT</v>
      </c>
      <c r="K4" s="5" t="s">
        <v>99</v>
      </c>
      <c r="O4" s="3" t="s">
        <v>85</v>
      </c>
      <c r="P4" s="3" t="s">
        <v>93</v>
      </c>
      <c r="Q4" s="3">
        <v>68</v>
      </c>
      <c r="R4" s="3">
        <v>68</v>
      </c>
      <c r="S4" s="3" t="b">
        <v>0</v>
      </c>
      <c r="T4" s="3" t="str">
        <f>B4&amp;"_"&amp;C4&amp;"_"&amp;H4</f>
        <v>FedEx_PRIORITY_OVERNIGHT_SAMEDAY</v>
      </c>
    </row>
    <row r="5" spans="1:20" ht="15.75" x14ac:dyDescent="0.25">
      <c r="A5" s="3">
        <v>10001</v>
      </c>
      <c r="B5" s="3" t="s">
        <v>51</v>
      </c>
      <c r="C5" s="3" t="s">
        <v>14</v>
      </c>
      <c r="D5" s="3">
        <v>1079720</v>
      </c>
      <c r="E5" s="3" t="s">
        <v>148</v>
      </c>
      <c r="F5" s="20">
        <v>43704.999988425923</v>
      </c>
      <c r="G5" s="3" t="s">
        <v>79</v>
      </c>
      <c r="H5" s="3" t="s">
        <v>77</v>
      </c>
      <c r="I5" s="3">
        <v>24658</v>
      </c>
      <c r="J5" s="3" t="str">
        <f>B5&amp;"_"&amp;C5</f>
        <v>FedEx_PRIORITY_OVERNIGHT</v>
      </c>
      <c r="K5" s="5" t="s">
        <v>99</v>
      </c>
      <c r="O5" s="3" t="s">
        <v>85</v>
      </c>
      <c r="P5" s="3" t="s">
        <v>93</v>
      </c>
      <c r="Q5" s="3">
        <v>3</v>
      </c>
      <c r="R5" s="3">
        <v>3</v>
      </c>
      <c r="S5" s="3" t="b">
        <v>0</v>
      </c>
      <c r="T5" s="3" t="str">
        <f>B5&amp;"_"&amp;C5&amp;"_"&amp;H5</f>
        <v>FedEx_PRIORITY_OVERNIGHT_SAMEDAY</v>
      </c>
    </row>
    <row r="6" spans="1:20" ht="15.75" x14ac:dyDescent="0.25">
      <c r="A6" s="3">
        <v>10003</v>
      </c>
      <c r="B6" s="3" t="s">
        <v>28</v>
      </c>
      <c r="C6" s="3" t="s">
        <v>109</v>
      </c>
      <c r="D6" s="3">
        <v>1080073</v>
      </c>
      <c r="E6" s="3" t="s">
        <v>183</v>
      </c>
      <c r="F6" s="21">
        <v>43705.999988425923</v>
      </c>
      <c r="G6" s="3" t="s">
        <v>79</v>
      </c>
      <c r="H6" s="3" t="s">
        <v>78</v>
      </c>
      <c r="I6" s="3">
        <v>24679</v>
      </c>
      <c r="J6" s="3" t="s">
        <v>31</v>
      </c>
      <c r="K6" s="5" t="s">
        <v>104</v>
      </c>
      <c r="O6" s="3" t="s">
        <v>85</v>
      </c>
      <c r="P6" s="3" t="s">
        <v>93</v>
      </c>
      <c r="Q6" s="3">
        <v>9</v>
      </c>
      <c r="R6" s="3">
        <v>9</v>
      </c>
      <c r="S6" s="3" t="b">
        <v>0</v>
      </c>
      <c r="T6" s="3" t="str">
        <f>B6&amp;"_"&amp;C6&amp;"_"&amp;H6</f>
        <v>USPS_FIRSTCLASS_NEXTDAY</v>
      </c>
    </row>
    <row r="7" spans="1:20" ht="15.75" x14ac:dyDescent="0.25">
      <c r="A7" s="3">
        <v>10003</v>
      </c>
      <c r="B7" s="3" t="s">
        <v>28</v>
      </c>
      <c r="C7" s="3" t="s">
        <v>109</v>
      </c>
      <c r="D7" s="3">
        <v>1080175</v>
      </c>
      <c r="E7" s="3" t="s">
        <v>184</v>
      </c>
      <c r="F7" s="21">
        <v>43705.999988425923</v>
      </c>
      <c r="G7" s="3" t="s">
        <v>79</v>
      </c>
      <c r="H7" s="3" t="s">
        <v>78</v>
      </c>
      <c r="I7" s="3">
        <v>24679</v>
      </c>
      <c r="J7" s="3" t="s">
        <v>31</v>
      </c>
      <c r="K7" s="5" t="s">
        <v>104</v>
      </c>
      <c r="O7" s="3" t="s">
        <v>85</v>
      </c>
      <c r="P7" s="3" t="s">
        <v>93</v>
      </c>
      <c r="Q7" s="3">
        <v>5</v>
      </c>
      <c r="R7" s="3">
        <v>5</v>
      </c>
      <c r="S7" s="3" t="b">
        <v>0</v>
      </c>
      <c r="T7" s="3" t="str">
        <f>B7&amp;"_"&amp;C7&amp;"_"&amp;H7</f>
        <v>USPS_FIRSTCLASS_NEXTDAY</v>
      </c>
    </row>
    <row r="8" spans="1:20" ht="15.75" x14ac:dyDescent="0.25">
      <c r="A8" s="3">
        <v>10003</v>
      </c>
      <c r="B8" s="3" t="s">
        <v>28</v>
      </c>
      <c r="C8" s="3" t="s">
        <v>109</v>
      </c>
      <c r="D8" s="3">
        <v>1081178</v>
      </c>
      <c r="E8" s="3" t="s">
        <v>185</v>
      </c>
      <c r="F8" s="21">
        <v>43705.999988425923</v>
      </c>
      <c r="G8" s="3" t="s">
        <v>79</v>
      </c>
      <c r="H8" s="3" t="s">
        <v>78</v>
      </c>
      <c r="I8" s="3">
        <v>24679</v>
      </c>
      <c r="J8" s="3" t="s">
        <v>31</v>
      </c>
      <c r="K8" s="5" t="s">
        <v>104</v>
      </c>
      <c r="O8" s="3" t="s">
        <v>85</v>
      </c>
      <c r="P8" s="3" t="s">
        <v>93</v>
      </c>
      <c r="Q8" s="3">
        <v>2</v>
      </c>
      <c r="R8" s="3">
        <v>2</v>
      </c>
      <c r="S8" s="3" t="b">
        <v>0</v>
      </c>
      <c r="T8" s="3" t="str">
        <f>B8&amp;"_"&amp;C8&amp;"_"&amp;H8</f>
        <v>USPS_FIRSTCLASS_NEXTDAY</v>
      </c>
    </row>
    <row r="9" spans="1:20" ht="15.75" x14ac:dyDescent="0.25">
      <c r="A9" s="3">
        <v>10002</v>
      </c>
      <c r="B9" s="3" t="s">
        <v>28</v>
      </c>
      <c r="C9" s="3" t="s">
        <v>109</v>
      </c>
      <c r="D9" s="3">
        <v>1163276</v>
      </c>
      <c r="E9" s="3" t="s">
        <v>152</v>
      </c>
      <c r="F9" s="21">
        <v>43704.999988425923</v>
      </c>
      <c r="G9" s="3" t="s">
        <v>81</v>
      </c>
      <c r="H9" s="3" t="s">
        <v>77</v>
      </c>
      <c r="I9" s="3">
        <v>24672</v>
      </c>
      <c r="J9" s="3" t="s">
        <v>7</v>
      </c>
      <c r="K9" s="5" t="s">
        <v>129</v>
      </c>
      <c r="O9" s="3" t="s">
        <v>11</v>
      </c>
      <c r="P9" s="3" t="s">
        <v>93</v>
      </c>
      <c r="Q9" s="3">
        <v>184</v>
      </c>
      <c r="R9" s="3">
        <v>184</v>
      </c>
      <c r="S9" s="3" t="b">
        <v>0</v>
      </c>
      <c r="T9" s="3" t="str">
        <f>B9&amp;"_"&amp;C9&amp;"_"&amp;H9</f>
        <v>USPS_FIRSTCLASS_SAMEDAY</v>
      </c>
    </row>
    <row r="10" spans="1:20" ht="15.75" x14ac:dyDescent="0.25">
      <c r="A10" s="3">
        <v>10002</v>
      </c>
      <c r="B10" s="3" t="s">
        <v>28</v>
      </c>
      <c r="C10" s="3" t="s">
        <v>109</v>
      </c>
      <c r="D10" s="3">
        <v>1213024</v>
      </c>
      <c r="E10" s="3" t="s">
        <v>135</v>
      </c>
      <c r="F10" s="21">
        <v>43704.999988425923</v>
      </c>
      <c r="G10" s="3" t="s">
        <v>81</v>
      </c>
      <c r="H10" s="3" t="s">
        <v>77</v>
      </c>
      <c r="I10" s="3">
        <v>24672</v>
      </c>
      <c r="K10" s="5" t="s">
        <v>129</v>
      </c>
      <c r="O10" s="3" t="s">
        <v>11</v>
      </c>
      <c r="P10" s="3" t="s">
        <v>93</v>
      </c>
      <c r="Q10" s="3">
        <v>160</v>
      </c>
      <c r="R10" s="3">
        <v>160</v>
      </c>
      <c r="S10" s="3" t="b">
        <v>0</v>
      </c>
      <c r="T10" s="3" t="str">
        <f>B10&amp;"_"&amp;C10&amp;"_"&amp;H10</f>
        <v>USPS_FIRSTCLASS_SAMEDAY</v>
      </c>
    </row>
    <row r="11" spans="1:20" ht="15.75" x14ac:dyDescent="0.25">
      <c r="A11" s="3">
        <v>10002</v>
      </c>
      <c r="B11" s="3" t="s">
        <v>28</v>
      </c>
      <c r="C11" s="3" t="s">
        <v>109</v>
      </c>
      <c r="D11" s="3">
        <v>1092400</v>
      </c>
      <c r="E11" s="3" t="s">
        <v>151</v>
      </c>
      <c r="F11" s="21">
        <v>43704.999988425923</v>
      </c>
      <c r="G11" s="3" t="s">
        <v>81</v>
      </c>
      <c r="H11" s="3" t="s">
        <v>77</v>
      </c>
      <c r="I11" s="3">
        <v>24673</v>
      </c>
      <c r="J11" s="3" t="s">
        <v>7</v>
      </c>
      <c r="K11" s="5" t="s">
        <v>143</v>
      </c>
      <c r="O11" s="3" t="s">
        <v>11</v>
      </c>
      <c r="P11" s="3" t="s">
        <v>93</v>
      </c>
      <c r="Q11" s="3">
        <v>36</v>
      </c>
      <c r="R11" s="3">
        <v>36</v>
      </c>
      <c r="S11" s="3" t="b">
        <v>0</v>
      </c>
      <c r="T11" s="3" t="str">
        <f>B11&amp;"_"&amp;C11&amp;"_"&amp;H11</f>
        <v>USPS_FIRSTCLASS_SAMEDAY</v>
      </c>
    </row>
    <row r="12" spans="1:20" s="19" customFormat="1" ht="15.75" x14ac:dyDescent="0.25">
      <c r="A12" s="19">
        <v>10002</v>
      </c>
      <c r="B12" s="19" t="s">
        <v>28</v>
      </c>
      <c r="C12" s="3" t="s">
        <v>109</v>
      </c>
      <c r="D12" s="19">
        <v>1092485</v>
      </c>
      <c r="E12" s="19" t="s">
        <v>150</v>
      </c>
      <c r="F12" s="21">
        <v>43704.999988425923</v>
      </c>
      <c r="G12" s="19" t="s">
        <v>81</v>
      </c>
      <c r="H12" s="19" t="s">
        <v>77</v>
      </c>
      <c r="I12" s="19">
        <v>17292</v>
      </c>
      <c r="J12" s="19" t="s">
        <v>7</v>
      </c>
      <c r="K12" s="18" t="s">
        <v>140</v>
      </c>
      <c r="O12" s="19" t="s">
        <v>11</v>
      </c>
      <c r="P12" s="19" t="s">
        <v>93</v>
      </c>
      <c r="Q12" s="19">
        <v>8</v>
      </c>
      <c r="R12" s="19">
        <v>8</v>
      </c>
      <c r="S12" s="19" t="b">
        <v>0</v>
      </c>
      <c r="T12" s="19" t="str">
        <f>B12&amp;"_"&amp;C12&amp;"_"&amp;H12</f>
        <v>USPS_FIRSTCLASS_SAMEDAY</v>
      </c>
    </row>
    <row r="13" spans="1:20" ht="15.75" x14ac:dyDescent="0.25">
      <c r="A13" s="3">
        <v>10002</v>
      </c>
      <c r="B13" s="3" t="s">
        <v>28</v>
      </c>
      <c r="C13" s="3" t="s">
        <v>109</v>
      </c>
      <c r="D13" s="3">
        <v>1155299</v>
      </c>
      <c r="E13" s="3" t="s">
        <v>149</v>
      </c>
      <c r="F13" s="21">
        <v>43704.999988425923</v>
      </c>
      <c r="G13" s="3" t="s">
        <v>81</v>
      </c>
      <c r="H13" s="3" t="s">
        <v>77</v>
      </c>
      <c r="I13" s="3">
        <v>22192</v>
      </c>
      <c r="J13" s="3" t="s">
        <v>7</v>
      </c>
      <c r="K13" s="5" t="s">
        <v>139</v>
      </c>
      <c r="O13" s="3" t="s">
        <v>11</v>
      </c>
      <c r="P13" s="3" t="s">
        <v>93</v>
      </c>
      <c r="Q13" s="3">
        <v>7</v>
      </c>
      <c r="R13" s="3">
        <v>7</v>
      </c>
      <c r="S13" s="3" t="b">
        <v>0</v>
      </c>
      <c r="T13" s="3" t="str">
        <f>B13&amp;"_"&amp;C13&amp;"_"&amp;H13</f>
        <v>USPS_FIRSTCLASS_SAMEDAY</v>
      </c>
    </row>
    <row r="14" spans="1:20" ht="15.75" x14ac:dyDescent="0.25">
      <c r="A14" s="3">
        <v>10002</v>
      </c>
      <c r="B14" s="3" t="s">
        <v>28</v>
      </c>
      <c r="C14" s="3" t="s">
        <v>109</v>
      </c>
      <c r="D14" s="3">
        <v>1163276</v>
      </c>
      <c r="E14" s="3" t="s">
        <v>186</v>
      </c>
      <c r="F14" s="21">
        <v>43704.999988425923</v>
      </c>
      <c r="G14" s="3" t="s">
        <v>82</v>
      </c>
      <c r="H14" s="3" t="s">
        <v>77</v>
      </c>
      <c r="I14" s="3">
        <v>22192</v>
      </c>
      <c r="J14" s="3" t="s">
        <v>33</v>
      </c>
      <c r="K14" s="5" t="s">
        <v>139</v>
      </c>
      <c r="O14" s="3" t="s">
        <v>11</v>
      </c>
      <c r="P14" s="3" t="s">
        <v>93</v>
      </c>
      <c r="Q14" s="3">
        <v>5</v>
      </c>
      <c r="R14" s="3">
        <v>5</v>
      </c>
      <c r="S14" s="3" t="b">
        <v>0</v>
      </c>
      <c r="T14" s="3" t="str">
        <f>B14&amp;"_"&amp;C14&amp;"_"&amp;H14</f>
        <v>USPS_FIRSTCLASS_SAMEDAY</v>
      </c>
    </row>
    <row r="15" spans="1:20" ht="15.75" x14ac:dyDescent="0.25">
      <c r="A15" s="3">
        <v>10002</v>
      </c>
      <c r="B15" s="3" t="s">
        <v>28</v>
      </c>
      <c r="C15" s="3" t="s">
        <v>109</v>
      </c>
      <c r="D15" s="3">
        <v>1084999</v>
      </c>
      <c r="E15" s="3" t="s">
        <v>187</v>
      </c>
      <c r="F15" s="21">
        <v>43704.999988425923</v>
      </c>
      <c r="G15" s="3" t="s">
        <v>82</v>
      </c>
      <c r="H15" s="3" t="s">
        <v>77</v>
      </c>
      <c r="I15" s="3">
        <v>22192</v>
      </c>
      <c r="J15" s="3" t="s">
        <v>33</v>
      </c>
      <c r="K15" s="5" t="s">
        <v>139</v>
      </c>
      <c r="O15" s="3" t="s">
        <v>11</v>
      </c>
      <c r="P15" s="3" t="s">
        <v>93</v>
      </c>
      <c r="Q15" s="3">
        <v>4</v>
      </c>
      <c r="R15" s="3">
        <v>4</v>
      </c>
      <c r="S15" s="3" t="b">
        <v>0</v>
      </c>
      <c r="T15" s="3" t="str">
        <f>B15&amp;"_"&amp;C15&amp;"_"&amp;H15</f>
        <v>USPS_FIRSTCLASS_SAMEDAY</v>
      </c>
    </row>
    <row r="16" spans="1:20" ht="15.75" x14ac:dyDescent="0.25">
      <c r="A16" s="3">
        <v>10002</v>
      </c>
      <c r="B16" s="3" t="s">
        <v>28</v>
      </c>
      <c r="C16" s="3" t="s">
        <v>109</v>
      </c>
      <c r="D16" s="3">
        <v>1154999</v>
      </c>
      <c r="E16" s="3" t="s">
        <v>188</v>
      </c>
      <c r="F16" s="21">
        <v>43704.999988425923</v>
      </c>
      <c r="G16" s="3" t="s">
        <v>82</v>
      </c>
      <c r="H16" s="3" t="s">
        <v>77</v>
      </c>
      <c r="I16" s="3">
        <v>22192</v>
      </c>
      <c r="J16" s="3" t="s">
        <v>33</v>
      </c>
      <c r="K16" s="5" t="s">
        <v>139</v>
      </c>
      <c r="O16" s="3" t="s">
        <v>11</v>
      </c>
      <c r="P16" s="3" t="s">
        <v>93</v>
      </c>
      <c r="Q16" s="3">
        <v>2</v>
      </c>
      <c r="R16" s="3">
        <v>2</v>
      </c>
      <c r="S16" s="3" t="b">
        <v>0</v>
      </c>
      <c r="T16" s="3" t="str">
        <f>B16&amp;"_"&amp;C16&amp;"_"&amp;H16</f>
        <v>USPS_FIRSTCLASS_SAMEDAY</v>
      </c>
    </row>
    <row r="17" spans="1:20" ht="15.75" x14ac:dyDescent="0.25">
      <c r="A17" s="3">
        <v>10002</v>
      </c>
      <c r="B17" s="3" t="s">
        <v>28</v>
      </c>
      <c r="C17" s="3" t="s">
        <v>109</v>
      </c>
      <c r="D17" s="3">
        <v>1079053</v>
      </c>
      <c r="E17" s="3" t="s">
        <v>154</v>
      </c>
      <c r="F17" s="21">
        <v>43704.999988425923</v>
      </c>
      <c r="G17" s="3" t="s">
        <v>80</v>
      </c>
      <c r="H17" s="3" t="s">
        <v>77</v>
      </c>
      <c r="I17" s="3">
        <v>24672</v>
      </c>
      <c r="J17" s="3" t="s">
        <v>7</v>
      </c>
      <c r="K17" s="5" t="s">
        <v>129</v>
      </c>
      <c r="O17" s="3" t="s">
        <v>11</v>
      </c>
      <c r="P17" s="3" t="s">
        <v>93</v>
      </c>
      <c r="Q17" s="3">
        <v>184</v>
      </c>
      <c r="R17" s="3">
        <v>184</v>
      </c>
      <c r="S17" s="3" t="b">
        <v>0</v>
      </c>
      <c r="T17" s="3" t="str">
        <f>B17&amp;"_"&amp;C17&amp;"_"&amp;H17</f>
        <v>USPS_FIRSTCLASS_SAMEDAY</v>
      </c>
    </row>
    <row r="18" spans="1:20" ht="15.75" x14ac:dyDescent="0.25">
      <c r="A18" s="3">
        <v>10002</v>
      </c>
      <c r="B18" s="3" t="s">
        <v>28</v>
      </c>
      <c r="C18" s="3" t="s">
        <v>109</v>
      </c>
      <c r="D18" s="3">
        <v>1082047</v>
      </c>
      <c r="E18" s="3" t="s">
        <v>153</v>
      </c>
      <c r="F18" s="21">
        <v>43704.999988425923</v>
      </c>
      <c r="G18" s="3" t="s">
        <v>80</v>
      </c>
      <c r="H18" s="3" t="s">
        <v>77</v>
      </c>
      <c r="I18" s="3">
        <v>24672</v>
      </c>
      <c r="J18" s="3" t="s">
        <v>7</v>
      </c>
      <c r="K18" s="5" t="s">
        <v>129</v>
      </c>
      <c r="O18" s="3" t="s">
        <v>11</v>
      </c>
      <c r="P18" s="3" t="s">
        <v>93</v>
      </c>
      <c r="Q18" s="3">
        <v>91</v>
      </c>
      <c r="R18" s="3">
        <v>91</v>
      </c>
      <c r="S18" s="3" t="b">
        <v>0</v>
      </c>
      <c r="T18" s="3" t="str">
        <f>B18&amp;"_"&amp;C18&amp;"_"&amp;H18</f>
        <v>USPS_FIRSTCLASS_SAMEDAY</v>
      </c>
    </row>
    <row r="19" spans="1:20" ht="15.75" x14ac:dyDescent="0.25">
      <c r="A19" s="3">
        <v>10002</v>
      </c>
      <c r="B19" s="3" t="s">
        <v>28</v>
      </c>
      <c r="C19" s="3" t="s">
        <v>109</v>
      </c>
      <c r="D19" s="3">
        <v>1208636</v>
      </c>
      <c r="E19" s="3" t="s">
        <v>130</v>
      </c>
      <c r="F19" s="21">
        <v>43704.999988425923</v>
      </c>
      <c r="G19" s="3" t="s">
        <v>80</v>
      </c>
      <c r="H19" s="3" t="s">
        <v>77</v>
      </c>
      <c r="I19" s="3">
        <v>24673</v>
      </c>
      <c r="K19" s="5" t="s">
        <v>143</v>
      </c>
      <c r="O19" s="3" t="s">
        <v>11</v>
      </c>
      <c r="P19" s="3" t="s">
        <v>93</v>
      </c>
      <c r="Q19" s="3">
        <v>11</v>
      </c>
      <c r="R19" s="3">
        <v>11</v>
      </c>
      <c r="S19" s="3" t="b">
        <v>0</v>
      </c>
      <c r="T19" s="3" t="str">
        <f>B19&amp;"_"&amp;C19&amp;"_"&amp;H19</f>
        <v>USPS_FIRSTCLASS_SAMEDAY</v>
      </c>
    </row>
    <row r="20" spans="1:20" s="19" customFormat="1" ht="15.75" x14ac:dyDescent="0.25">
      <c r="A20" s="19">
        <v>10002</v>
      </c>
      <c r="B20" s="19" t="s">
        <v>28</v>
      </c>
      <c r="C20" s="3" t="s">
        <v>109</v>
      </c>
      <c r="D20" s="19">
        <v>1112047</v>
      </c>
      <c r="E20" s="19" t="s">
        <v>155</v>
      </c>
      <c r="F20" s="21">
        <v>43704.999988425923</v>
      </c>
      <c r="G20" s="19" t="s">
        <v>80</v>
      </c>
      <c r="H20" s="19" t="s">
        <v>77</v>
      </c>
      <c r="I20" s="19">
        <v>17292</v>
      </c>
      <c r="J20" s="19" t="s">
        <v>7</v>
      </c>
      <c r="K20" s="18" t="s">
        <v>140</v>
      </c>
      <c r="O20" s="19" t="s">
        <v>11</v>
      </c>
      <c r="P20" s="19" t="s">
        <v>93</v>
      </c>
      <c r="Q20" s="19">
        <v>10</v>
      </c>
      <c r="R20" s="19">
        <v>10</v>
      </c>
      <c r="S20" s="19" t="b">
        <v>0</v>
      </c>
      <c r="T20" s="19" t="str">
        <f>B20&amp;"_"&amp;C20&amp;"_"&amp;H20</f>
        <v>USPS_FIRSTCLASS_SAMEDAY</v>
      </c>
    </row>
    <row r="21" spans="1:20" ht="15.75" x14ac:dyDescent="0.25">
      <c r="A21" s="3">
        <v>10002</v>
      </c>
      <c r="B21" s="3" t="s">
        <v>28</v>
      </c>
      <c r="C21" s="3" t="s">
        <v>109</v>
      </c>
      <c r="D21" s="3">
        <v>1184063</v>
      </c>
      <c r="E21" s="3" t="s">
        <v>156</v>
      </c>
      <c r="F21" s="21">
        <v>43704.999988425923</v>
      </c>
      <c r="G21" s="3" t="s">
        <v>80</v>
      </c>
      <c r="H21" s="3" t="s">
        <v>77</v>
      </c>
      <c r="I21" s="3">
        <v>22192</v>
      </c>
      <c r="J21" s="3" t="s">
        <v>7</v>
      </c>
      <c r="K21" s="5" t="s">
        <v>139</v>
      </c>
      <c r="O21" s="3" t="s">
        <v>11</v>
      </c>
      <c r="P21" s="3" t="s">
        <v>93</v>
      </c>
      <c r="Q21" s="3">
        <v>7</v>
      </c>
      <c r="R21" s="3">
        <v>7</v>
      </c>
      <c r="S21" s="3" t="b">
        <v>0</v>
      </c>
      <c r="T21" s="3" t="str">
        <f>B21&amp;"_"&amp;C21&amp;"_"&amp;H21</f>
        <v>USPS_FIRSTCLASS_SAMEDAY</v>
      </c>
    </row>
    <row r="22" spans="1:20" ht="15.75" x14ac:dyDescent="0.25">
      <c r="A22" s="3">
        <v>10002</v>
      </c>
      <c r="B22" s="3" t="s">
        <v>28</v>
      </c>
      <c r="C22" s="3" t="s">
        <v>109</v>
      </c>
      <c r="D22" s="3">
        <v>1123168</v>
      </c>
      <c r="E22" s="3" t="s">
        <v>162</v>
      </c>
      <c r="F22" s="21">
        <v>43704.999988425923</v>
      </c>
      <c r="G22" s="3" t="s">
        <v>4</v>
      </c>
      <c r="H22" s="3" t="s">
        <v>77</v>
      </c>
      <c r="I22" s="3">
        <v>24672</v>
      </c>
      <c r="J22" s="3" t="s">
        <v>7</v>
      </c>
      <c r="K22" s="5" t="s">
        <v>129</v>
      </c>
      <c r="O22" s="3" t="s">
        <v>11</v>
      </c>
      <c r="P22" s="3" t="s">
        <v>93</v>
      </c>
      <c r="Q22" s="3">
        <v>184</v>
      </c>
      <c r="R22" s="3">
        <v>184</v>
      </c>
      <c r="S22" s="3" t="b">
        <v>0</v>
      </c>
      <c r="T22" s="3" t="str">
        <f>B22&amp;"_"&amp;C22&amp;"_"&amp;H22</f>
        <v>USPS_FIRSTCLASS_SAMEDAY</v>
      </c>
    </row>
    <row r="23" spans="1:20" ht="15.75" x14ac:dyDescent="0.25">
      <c r="A23" s="3">
        <v>10002</v>
      </c>
      <c r="B23" s="3" t="s">
        <v>28</v>
      </c>
      <c r="C23" s="3" t="s">
        <v>109</v>
      </c>
      <c r="D23" s="3">
        <v>1126148</v>
      </c>
      <c r="E23" s="3" t="s">
        <v>169</v>
      </c>
      <c r="F23" s="21">
        <v>43704.999988425923</v>
      </c>
      <c r="G23" s="3" t="s">
        <v>4</v>
      </c>
      <c r="H23" s="3" t="s">
        <v>77</v>
      </c>
      <c r="I23" s="3">
        <v>24672</v>
      </c>
      <c r="J23" s="3" t="s">
        <v>7</v>
      </c>
      <c r="K23" s="5" t="s">
        <v>129</v>
      </c>
      <c r="O23" s="3" t="s">
        <v>11</v>
      </c>
      <c r="P23" s="3" t="s">
        <v>93</v>
      </c>
      <c r="Q23" s="3">
        <v>160</v>
      </c>
      <c r="R23" s="3">
        <v>160</v>
      </c>
      <c r="S23" s="3" t="b">
        <v>0</v>
      </c>
      <c r="T23" s="3" t="str">
        <f>B23&amp;"_"&amp;C23&amp;"_"&amp;H23</f>
        <v>USPS_FIRSTCLASS_SAMEDAY</v>
      </c>
    </row>
    <row r="24" spans="1:20" ht="15.75" x14ac:dyDescent="0.25">
      <c r="A24" s="3">
        <v>10002</v>
      </c>
      <c r="B24" s="3" t="s">
        <v>28</v>
      </c>
      <c r="C24" s="3" t="s">
        <v>109</v>
      </c>
      <c r="D24" s="3">
        <v>1123001</v>
      </c>
      <c r="E24" s="3" t="s">
        <v>161</v>
      </c>
      <c r="F24" s="21">
        <v>43704.999988425923</v>
      </c>
      <c r="G24" s="3" t="s">
        <v>4</v>
      </c>
      <c r="H24" s="3" t="s">
        <v>77</v>
      </c>
      <c r="I24" s="3">
        <v>24673</v>
      </c>
      <c r="J24" s="3" t="s">
        <v>7</v>
      </c>
      <c r="K24" s="5" t="s">
        <v>143</v>
      </c>
      <c r="O24" s="3" t="s">
        <v>11</v>
      </c>
      <c r="P24" s="3" t="s">
        <v>93</v>
      </c>
      <c r="Q24" s="3">
        <v>11</v>
      </c>
      <c r="R24" s="3">
        <v>11</v>
      </c>
      <c r="S24" s="3" t="b">
        <v>0</v>
      </c>
      <c r="T24" s="3" t="str">
        <f>B24&amp;"_"&amp;C24&amp;"_"&amp;H24</f>
        <v>USPS_FIRSTCLASS_SAMEDAY</v>
      </c>
    </row>
    <row r="25" spans="1:20" ht="15.75" x14ac:dyDescent="0.25">
      <c r="A25" s="3">
        <v>10002</v>
      </c>
      <c r="B25" s="3" t="s">
        <v>28</v>
      </c>
      <c r="C25" s="3" t="s">
        <v>109</v>
      </c>
      <c r="D25" s="3">
        <v>1164309</v>
      </c>
      <c r="E25" s="3" t="s">
        <v>131</v>
      </c>
      <c r="F25" s="21">
        <v>43704.999988425923</v>
      </c>
      <c r="G25" s="3" t="s">
        <v>4</v>
      </c>
      <c r="H25" s="3" t="s">
        <v>77</v>
      </c>
      <c r="I25" s="3">
        <v>17292</v>
      </c>
      <c r="K25" s="5" t="s">
        <v>105</v>
      </c>
      <c r="O25" s="3" t="s">
        <v>11</v>
      </c>
      <c r="P25" s="3" t="s">
        <v>93</v>
      </c>
      <c r="Q25" s="3">
        <v>10</v>
      </c>
      <c r="R25" s="3">
        <v>10</v>
      </c>
      <c r="S25" s="3" t="b">
        <v>0</v>
      </c>
      <c r="T25" s="3" t="str">
        <f>B25&amp;"_"&amp;C25&amp;"_"&amp;H25</f>
        <v>USPS_FIRSTCLASS_SAMEDAY</v>
      </c>
    </row>
    <row r="26" spans="1:20" ht="15.75" x14ac:dyDescent="0.25">
      <c r="A26" s="3">
        <v>10002</v>
      </c>
      <c r="B26" s="3" t="s">
        <v>28</v>
      </c>
      <c r="C26" s="3" t="s">
        <v>109</v>
      </c>
      <c r="D26" s="3">
        <v>1076872</v>
      </c>
      <c r="E26" s="3" t="s">
        <v>160</v>
      </c>
      <c r="F26" s="21">
        <v>43704.999988425923</v>
      </c>
      <c r="G26" s="3" t="s">
        <v>4</v>
      </c>
      <c r="H26" s="3" t="s">
        <v>77</v>
      </c>
      <c r="I26" s="3">
        <v>22192</v>
      </c>
      <c r="J26" s="3" t="s">
        <v>7</v>
      </c>
      <c r="K26" s="5" t="s">
        <v>139</v>
      </c>
      <c r="O26" s="3" t="s">
        <v>11</v>
      </c>
      <c r="P26" s="3" t="s">
        <v>93</v>
      </c>
      <c r="Q26" s="3">
        <v>7</v>
      </c>
      <c r="R26" s="3">
        <v>7</v>
      </c>
      <c r="S26" s="3" t="b">
        <v>0</v>
      </c>
      <c r="T26" s="3" t="str">
        <f>B26&amp;"_"&amp;C26&amp;"_"&amp;H26</f>
        <v>USPS_FIRSTCLASS_SAMEDAY</v>
      </c>
    </row>
    <row r="27" spans="1:20" ht="15.75" x14ac:dyDescent="0.25">
      <c r="A27" s="3">
        <v>10002</v>
      </c>
      <c r="B27" s="3" t="s">
        <v>28</v>
      </c>
      <c r="C27" s="3" t="s">
        <v>109</v>
      </c>
      <c r="D27" s="3">
        <v>1096658</v>
      </c>
      <c r="E27" s="3" t="s">
        <v>168</v>
      </c>
      <c r="F27" s="21">
        <v>43704.999988425923</v>
      </c>
      <c r="G27" s="3" t="s">
        <v>4</v>
      </c>
      <c r="H27" s="3" t="s">
        <v>77</v>
      </c>
      <c r="I27" s="3">
        <v>24672</v>
      </c>
      <c r="J27" s="3" t="s">
        <v>7</v>
      </c>
      <c r="K27" s="5" t="s">
        <v>129</v>
      </c>
      <c r="O27" s="3" t="s">
        <v>10</v>
      </c>
      <c r="P27" s="3" t="s">
        <v>93</v>
      </c>
      <c r="Q27" s="3">
        <v>184</v>
      </c>
      <c r="R27" s="3">
        <v>184</v>
      </c>
      <c r="S27" s="3" t="b">
        <v>0</v>
      </c>
      <c r="T27" s="3" t="str">
        <f>B27&amp;"_"&amp;C27&amp;"_"&amp;H27</f>
        <v>USPS_FIRSTCLASS_SAMEDAY</v>
      </c>
    </row>
    <row r="28" spans="1:20" ht="15.75" x14ac:dyDescent="0.25">
      <c r="A28" s="3">
        <v>10002</v>
      </c>
      <c r="B28" s="3" t="s">
        <v>28</v>
      </c>
      <c r="C28" s="3" t="s">
        <v>109</v>
      </c>
      <c r="D28" s="3">
        <v>1096568</v>
      </c>
      <c r="E28" s="3" t="s">
        <v>170</v>
      </c>
      <c r="F28" s="21">
        <v>43704.999988425923</v>
      </c>
      <c r="G28" s="3" t="s">
        <v>4</v>
      </c>
      <c r="H28" s="3" t="s">
        <v>77</v>
      </c>
      <c r="I28" s="3">
        <v>24672</v>
      </c>
      <c r="J28" s="3" t="s">
        <v>7</v>
      </c>
      <c r="K28" s="5" t="s">
        <v>129</v>
      </c>
      <c r="O28" s="3" t="s">
        <v>10</v>
      </c>
      <c r="P28" s="3" t="s">
        <v>93</v>
      </c>
      <c r="Q28" s="3">
        <v>160</v>
      </c>
      <c r="R28" s="3">
        <v>160</v>
      </c>
      <c r="S28" s="3" t="b">
        <v>0</v>
      </c>
      <c r="T28" s="3" t="str">
        <f>B28&amp;"_"&amp;C28&amp;"_"&amp;H28</f>
        <v>USPS_FIRSTCLASS_SAMEDAY</v>
      </c>
    </row>
    <row r="29" spans="1:20" ht="15.75" x14ac:dyDescent="0.25">
      <c r="A29" s="3">
        <v>10002</v>
      </c>
      <c r="B29" s="3" t="s">
        <v>28</v>
      </c>
      <c r="C29" s="3" t="s">
        <v>109</v>
      </c>
      <c r="D29" s="3">
        <v>1096187</v>
      </c>
      <c r="E29" s="3" t="s">
        <v>167</v>
      </c>
      <c r="F29" s="21">
        <v>43704.999988425923</v>
      </c>
      <c r="G29" s="3" t="s">
        <v>4</v>
      </c>
      <c r="H29" s="3" t="s">
        <v>77</v>
      </c>
      <c r="I29" s="3">
        <v>24673</v>
      </c>
      <c r="J29" s="3" t="s">
        <v>7</v>
      </c>
      <c r="K29" s="5" t="s">
        <v>143</v>
      </c>
      <c r="O29" s="3" t="s">
        <v>10</v>
      </c>
      <c r="P29" s="3" t="s">
        <v>93</v>
      </c>
      <c r="Q29" s="3">
        <v>11</v>
      </c>
      <c r="R29" s="3">
        <v>11</v>
      </c>
      <c r="S29" s="3" t="b">
        <v>0</v>
      </c>
      <c r="T29" s="3" t="str">
        <f>B29&amp;"_"&amp;C29&amp;"_"&amp;H29</f>
        <v>USPS_FIRSTCLASS_SAMEDAY</v>
      </c>
    </row>
    <row r="30" spans="1:20" ht="15.75" x14ac:dyDescent="0.25">
      <c r="A30" s="3">
        <v>10002</v>
      </c>
      <c r="B30" s="3" t="s">
        <v>28</v>
      </c>
      <c r="C30" s="3" t="s">
        <v>109</v>
      </c>
      <c r="D30" s="3">
        <v>1213186</v>
      </c>
      <c r="E30" s="3" t="s">
        <v>132</v>
      </c>
      <c r="F30" s="21">
        <v>43704.999988425923</v>
      </c>
      <c r="G30" s="3" t="s">
        <v>4</v>
      </c>
      <c r="H30" s="3" t="s">
        <v>77</v>
      </c>
      <c r="I30" s="3">
        <v>17292</v>
      </c>
      <c r="K30" s="5" t="s">
        <v>105</v>
      </c>
      <c r="O30" s="3" t="s">
        <v>10</v>
      </c>
      <c r="P30" s="3" t="s">
        <v>93</v>
      </c>
      <c r="Q30" s="3">
        <v>9</v>
      </c>
      <c r="R30" s="3">
        <v>9</v>
      </c>
      <c r="S30" s="3" t="b">
        <v>0</v>
      </c>
      <c r="T30" s="3" t="str">
        <f>B30&amp;"_"&amp;C30&amp;"_"&amp;H30</f>
        <v>USPS_FIRSTCLASS_SAMEDAY</v>
      </c>
    </row>
    <row r="31" spans="1:20" ht="15.75" x14ac:dyDescent="0.25">
      <c r="A31" s="3">
        <v>10002</v>
      </c>
      <c r="B31" s="3" t="s">
        <v>28</v>
      </c>
      <c r="C31" s="3" t="s">
        <v>109</v>
      </c>
      <c r="D31" s="3">
        <v>1095931</v>
      </c>
      <c r="E31" s="3" t="s">
        <v>166</v>
      </c>
      <c r="F31" s="21">
        <v>43704.999988425923</v>
      </c>
      <c r="G31" s="3" t="s">
        <v>4</v>
      </c>
      <c r="H31" s="3" t="s">
        <v>77</v>
      </c>
      <c r="I31" s="3">
        <v>22192</v>
      </c>
      <c r="J31" s="3" t="s">
        <v>7</v>
      </c>
      <c r="K31" s="5" t="s">
        <v>139</v>
      </c>
      <c r="O31" s="3" t="s">
        <v>10</v>
      </c>
      <c r="P31" s="3" t="s">
        <v>93</v>
      </c>
      <c r="Q31" s="3">
        <v>6</v>
      </c>
      <c r="R31" s="3">
        <v>6</v>
      </c>
      <c r="S31" s="3" t="b">
        <v>0</v>
      </c>
      <c r="T31" s="3" t="str">
        <f>B31&amp;"_"&amp;C31&amp;"_"&amp;H31</f>
        <v>USPS_FIRSTCLASS_SAMEDAY</v>
      </c>
    </row>
    <row r="32" spans="1:20" ht="15.75" x14ac:dyDescent="0.25">
      <c r="A32" s="3">
        <v>10002</v>
      </c>
      <c r="B32" s="3" t="s">
        <v>28</v>
      </c>
      <c r="C32" s="3" t="s">
        <v>109</v>
      </c>
      <c r="D32" s="3">
        <v>1113803</v>
      </c>
      <c r="E32" s="3" t="s">
        <v>159</v>
      </c>
      <c r="F32" s="21">
        <v>43704.999988425923</v>
      </c>
      <c r="G32" s="3" t="s">
        <v>4</v>
      </c>
      <c r="H32" s="3" t="s">
        <v>77</v>
      </c>
      <c r="I32" s="3">
        <v>24672</v>
      </c>
      <c r="J32" s="3" t="s">
        <v>7</v>
      </c>
      <c r="K32" s="5" t="s">
        <v>129</v>
      </c>
      <c r="L32" s="3">
        <v>24709</v>
      </c>
      <c r="M32" s="3" t="s">
        <v>49</v>
      </c>
      <c r="N32" s="5" t="s">
        <v>127</v>
      </c>
      <c r="O32" s="3" t="s">
        <v>11</v>
      </c>
      <c r="P32" s="3" t="s">
        <v>93</v>
      </c>
      <c r="Q32" s="3">
        <v>184</v>
      </c>
      <c r="R32" s="3">
        <v>184</v>
      </c>
      <c r="S32" s="3" t="b">
        <v>0</v>
      </c>
      <c r="T32" s="3" t="str">
        <f>B32&amp;"_"&amp;C32&amp;"_"&amp;H32</f>
        <v>USPS_FIRSTCLASS_SAMEDAY</v>
      </c>
    </row>
    <row r="33" spans="1:20" ht="15.75" x14ac:dyDescent="0.25">
      <c r="A33" s="3">
        <v>10002</v>
      </c>
      <c r="B33" s="3" t="s">
        <v>28</v>
      </c>
      <c r="C33" s="3" t="s">
        <v>109</v>
      </c>
      <c r="D33" s="3">
        <v>1134322</v>
      </c>
      <c r="E33" s="3" t="s">
        <v>171</v>
      </c>
      <c r="F33" s="21">
        <v>43704.999988425923</v>
      </c>
      <c r="G33" s="3" t="s">
        <v>4</v>
      </c>
      <c r="H33" s="3" t="s">
        <v>77</v>
      </c>
      <c r="I33" s="3">
        <v>24672</v>
      </c>
      <c r="J33" s="3" t="s">
        <v>7</v>
      </c>
      <c r="K33" s="5" t="s">
        <v>129</v>
      </c>
      <c r="L33" s="3">
        <v>24709</v>
      </c>
      <c r="M33" s="3" t="s">
        <v>49</v>
      </c>
      <c r="N33" s="5" t="s">
        <v>127</v>
      </c>
      <c r="O33" s="3" t="s">
        <v>11</v>
      </c>
      <c r="P33" s="3" t="s">
        <v>93</v>
      </c>
      <c r="Q33" s="3">
        <v>160</v>
      </c>
      <c r="R33" s="3">
        <v>160</v>
      </c>
      <c r="S33" s="3" t="b">
        <v>0</v>
      </c>
      <c r="T33" s="3" t="str">
        <f>B33&amp;"_"&amp;C33&amp;"_"&amp;H33</f>
        <v>USPS_FIRSTCLASS_SAMEDAY</v>
      </c>
    </row>
    <row r="34" spans="1:20" ht="15.75" x14ac:dyDescent="0.25">
      <c r="A34" s="3">
        <v>10002</v>
      </c>
      <c r="B34" s="3" t="s">
        <v>28</v>
      </c>
      <c r="C34" s="3" t="s">
        <v>109</v>
      </c>
      <c r="D34" s="3">
        <v>1108375</v>
      </c>
      <c r="E34" s="3" t="s">
        <v>158</v>
      </c>
      <c r="F34" s="21">
        <v>43704.999988425923</v>
      </c>
      <c r="G34" s="3" t="s">
        <v>4</v>
      </c>
      <c r="H34" s="3" t="s">
        <v>77</v>
      </c>
      <c r="I34" s="3">
        <v>24673</v>
      </c>
      <c r="J34" s="3" t="s">
        <v>7</v>
      </c>
      <c r="K34" s="5" t="s">
        <v>100</v>
      </c>
      <c r="L34" s="3">
        <v>24709</v>
      </c>
      <c r="M34" s="3" t="s">
        <v>49</v>
      </c>
      <c r="N34" s="5" t="s">
        <v>127</v>
      </c>
      <c r="O34" s="3" t="s">
        <v>11</v>
      </c>
      <c r="P34" s="3" t="s">
        <v>93</v>
      </c>
      <c r="Q34" s="3">
        <v>11</v>
      </c>
      <c r="R34" s="3">
        <v>11</v>
      </c>
      <c r="S34" s="3" t="b">
        <v>0</v>
      </c>
      <c r="T34" s="3" t="str">
        <f>B34&amp;"_"&amp;C34&amp;"_"&amp;H34</f>
        <v>USPS_FIRSTCLASS_SAMEDAY</v>
      </c>
    </row>
    <row r="35" spans="1:20" ht="15.75" x14ac:dyDescent="0.25">
      <c r="A35" s="3">
        <v>10002</v>
      </c>
      <c r="B35" s="3" t="s">
        <v>28</v>
      </c>
      <c r="C35" s="3" t="s">
        <v>109</v>
      </c>
      <c r="D35" s="3">
        <v>1201024</v>
      </c>
      <c r="E35" s="3" t="s">
        <v>133</v>
      </c>
      <c r="F35" s="21">
        <v>43704.999988425923</v>
      </c>
      <c r="G35" s="3" t="s">
        <v>4</v>
      </c>
      <c r="H35" s="3" t="s">
        <v>77</v>
      </c>
      <c r="I35" s="3">
        <v>17292</v>
      </c>
      <c r="K35" s="5" t="s">
        <v>105</v>
      </c>
      <c r="L35" s="3">
        <v>24709</v>
      </c>
      <c r="M35" s="3" t="s">
        <v>49</v>
      </c>
      <c r="N35" s="5" t="s">
        <v>127</v>
      </c>
      <c r="O35" s="3" t="s">
        <v>11</v>
      </c>
      <c r="P35" s="3" t="s">
        <v>93</v>
      </c>
      <c r="Q35" s="3">
        <v>8</v>
      </c>
      <c r="R35" s="3">
        <v>8</v>
      </c>
      <c r="S35" s="3" t="b">
        <v>0</v>
      </c>
      <c r="T35" s="3" t="str">
        <f>B35&amp;"_"&amp;C35&amp;"_"&amp;H35</f>
        <v>USPS_FIRSTCLASS_SAMEDAY</v>
      </c>
    </row>
    <row r="36" spans="1:20" ht="15.75" x14ac:dyDescent="0.25">
      <c r="A36" s="3">
        <v>10002</v>
      </c>
      <c r="B36" s="3" t="s">
        <v>28</v>
      </c>
      <c r="C36" s="3" t="s">
        <v>109</v>
      </c>
      <c r="D36" s="3">
        <v>1107777</v>
      </c>
      <c r="E36" s="3" t="s">
        <v>157</v>
      </c>
      <c r="F36" s="21">
        <v>43704.999988425923</v>
      </c>
      <c r="G36" s="3" t="s">
        <v>4</v>
      </c>
      <c r="H36" s="3" t="s">
        <v>77</v>
      </c>
      <c r="I36" s="3">
        <v>22192</v>
      </c>
      <c r="J36" s="3" t="s">
        <v>7</v>
      </c>
      <c r="K36" s="5" t="s">
        <v>139</v>
      </c>
      <c r="L36" s="3">
        <v>24709</v>
      </c>
      <c r="M36" s="3" t="s">
        <v>49</v>
      </c>
      <c r="N36" s="5" t="s">
        <v>127</v>
      </c>
      <c r="O36" s="3" t="s">
        <v>11</v>
      </c>
      <c r="P36" s="3" t="s">
        <v>93</v>
      </c>
      <c r="Q36" s="3">
        <v>2</v>
      </c>
      <c r="R36" s="3">
        <v>2</v>
      </c>
      <c r="S36" s="3" t="b">
        <v>0</v>
      </c>
      <c r="T36" s="3" t="str">
        <f>B36&amp;"_"&amp;C36&amp;"_"&amp;H36</f>
        <v>USPS_FIRSTCLASS_SAMEDAY</v>
      </c>
    </row>
    <row r="37" spans="1:20" ht="15.75" x14ac:dyDescent="0.25">
      <c r="A37" s="3">
        <v>10002</v>
      </c>
      <c r="B37" s="3" t="s">
        <v>28</v>
      </c>
      <c r="C37" s="3" t="s">
        <v>109</v>
      </c>
      <c r="D37" s="3">
        <v>1081508</v>
      </c>
      <c r="E37" s="3" t="s">
        <v>165</v>
      </c>
      <c r="F37" s="21">
        <v>43704.999988425923</v>
      </c>
      <c r="G37" s="3" t="s">
        <v>4</v>
      </c>
      <c r="H37" s="3" t="s">
        <v>77</v>
      </c>
      <c r="I37" s="3">
        <v>24672</v>
      </c>
      <c r="J37" s="3" t="s">
        <v>7</v>
      </c>
      <c r="K37" s="5" t="s">
        <v>129</v>
      </c>
      <c r="L37" s="3">
        <v>24709</v>
      </c>
      <c r="M37" s="3" t="s">
        <v>49</v>
      </c>
      <c r="N37" s="5" t="s">
        <v>127</v>
      </c>
      <c r="O37" s="3" t="s">
        <v>10</v>
      </c>
      <c r="P37" s="3" t="s">
        <v>93</v>
      </c>
      <c r="Q37" s="3">
        <v>161</v>
      </c>
      <c r="R37" s="3">
        <v>161</v>
      </c>
      <c r="S37" s="3" t="b">
        <v>0</v>
      </c>
      <c r="T37" s="3" t="str">
        <f>B37&amp;"_"&amp;C37&amp;"_"&amp;H37</f>
        <v>USPS_FIRSTCLASS_SAMEDAY</v>
      </c>
    </row>
    <row r="38" spans="1:20" ht="15.75" x14ac:dyDescent="0.25">
      <c r="A38" s="3">
        <v>10002</v>
      </c>
      <c r="B38" s="3" t="s">
        <v>28</v>
      </c>
      <c r="C38" s="3" t="s">
        <v>109</v>
      </c>
      <c r="D38" s="3">
        <v>1221508</v>
      </c>
      <c r="E38" s="3" t="s">
        <v>172</v>
      </c>
      <c r="F38" s="21">
        <v>43704.999988425923</v>
      </c>
      <c r="G38" s="3" t="s">
        <v>4</v>
      </c>
      <c r="H38" s="3" t="s">
        <v>77</v>
      </c>
      <c r="I38" s="3">
        <v>24672</v>
      </c>
      <c r="J38" s="3" t="s">
        <v>7</v>
      </c>
      <c r="K38" s="5" t="s">
        <v>129</v>
      </c>
      <c r="L38" s="3">
        <v>24709</v>
      </c>
      <c r="M38" s="3" t="s">
        <v>49</v>
      </c>
      <c r="N38" s="5" t="s">
        <v>127</v>
      </c>
      <c r="O38" s="3" t="s">
        <v>10</v>
      </c>
      <c r="P38" s="3" t="s">
        <v>93</v>
      </c>
      <c r="Q38" s="3">
        <v>91</v>
      </c>
      <c r="R38" s="3">
        <v>91</v>
      </c>
      <c r="S38" s="3" t="b">
        <v>0</v>
      </c>
      <c r="T38" s="3" t="str">
        <f>B38&amp;"_"&amp;C38&amp;"_"&amp;H38</f>
        <v>USPS_FIRSTCLASS_SAMEDAY</v>
      </c>
    </row>
    <row r="39" spans="1:20" ht="15.75" x14ac:dyDescent="0.25">
      <c r="A39" s="3">
        <v>10002</v>
      </c>
      <c r="B39" s="3" t="s">
        <v>28</v>
      </c>
      <c r="C39" s="3" t="s">
        <v>109</v>
      </c>
      <c r="D39" s="3">
        <v>1081335</v>
      </c>
      <c r="E39" s="3" t="s">
        <v>164</v>
      </c>
      <c r="F39" s="21">
        <v>43704.999988425923</v>
      </c>
      <c r="G39" s="3" t="s">
        <v>4</v>
      </c>
      <c r="H39" s="3" t="s">
        <v>77</v>
      </c>
      <c r="I39" s="3">
        <v>24673</v>
      </c>
      <c r="J39" s="3" t="s">
        <v>7</v>
      </c>
      <c r="K39" s="5" t="s">
        <v>143</v>
      </c>
      <c r="L39" s="3">
        <v>24709</v>
      </c>
      <c r="M39" s="3" t="s">
        <v>49</v>
      </c>
      <c r="N39" s="5" t="s">
        <v>127</v>
      </c>
      <c r="O39" s="3" t="s">
        <v>10</v>
      </c>
      <c r="P39" s="3" t="s">
        <v>93</v>
      </c>
      <c r="Q39" s="3">
        <v>19</v>
      </c>
      <c r="R39" s="3">
        <v>19</v>
      </c>
      <c r="S39" s="3" t="b">
        <v>0</v>
      </c>
      <c r="T39" s="3" t="str">
        <f>B39&amp;"_"&amp;C39&amp;"_"&amp;H39</f>
        <v>USPS_FIRSTCLASS_SAMEDAY</v>
      </c>
    </row>
    <row r="40" spans="1:20" ht="15.75" x14ac:dyDescent="0.25">
      <c r="A40" s="3">
        <v>10002</v>
      </c>
      <c r="B40" s="3" t="s">
        <v>28</v>
      </c>
      <c r="C40" s="3" t="s">
        <v>109</v>
      </c>
      <c r="D40" s="3">
        <v>1219559</v>
      </c>
      <c r="E40" s="3" t="s">
        <v>134</v>
      </c>
      <c r="F40" s="21">
        <v>43704.999988425923</v>
      </c>
      <c r="G40" s="3" t="s">
        <v>4</v>
      </c>
      <c r="H40" s="3" t="s">
        <v>77</v>
      </c>
      <c r="I40" s="3">
        <v>17292</v>
      </c>
      <c r="K40" s="5" t="s">
        <v>105</v>
      </c>
      <c r="L40" s="3">
        <v>24709</v>
      </c>
      <c r="M40" s="3" t="s">
        <v>49</v>
      </c>
      <c r="N40" s="5" t="s">
        <v>127</v>
      </c>
      <c r="O40" s="3" t="s">
        <v>10</v>
      </c>
      <c r="P40" s="3" t="s">
        <v>93</v>
      </c>
      <c r="Q40" s="3">
        <v>10</v>
      </c>
      <c r="R40" s="3">
        <v>10</v>
      </c>
      <c r="S40" s="3" t="b">
        <v>0</v>
      </c>
      <c r="T40" s="3" t="str">
        <f>B40&amp;"_"&amp;C40&amp;"_"&amp;H40</f>
        <v>USPS_FIRSTCLASS_SAMEDAY</v>
      </c>
    </row>
    <row r="41" spans="1:20" ht="15.75" x14ac:dyDescent="0.25">
      <c r="A41" s="3">
        <v>10002</v>
      </c>
      <c r="B41" s="3" t="s">
        <v>28</v>
      </c>
      <c r="C41" s="3" t="s">
        <v>109</v>
      </c>
      <c r="D41" s="3">
        <v>1081257</v>
      </c>
      <c r="E41" s="3" t="s">
        <v>163</v>
      </c>
      <c r="F41" s="21">
        <v>43704.999988425923</v>
      </c>
      <c r="G41" s="3" t="s">
        <v>4</v>
      </c>
      <c r="H41" s="3" t="s">
        <v>77</v>
      </c>
      <c r="I41" s="3">
        <v>22192</v>
      </c>
      <c r="J41" s="3" t="s">
        <v>7</v>
      </c>
      <c r="K41" s="5" t="s">
        <v>139</v>
      </c>
      <c r="L41" s="3">
        <v>24709</v>
      </c>
      <c r="M41" s="3" t="s">
        <v>49</v>
      </c>
      <c r="N41" s="5" t="s">
        <v>127</v>
      </c>
      <c r="O41" s="3" t="s">
        <v>10</v>
      </c>
      <c r="P41" s="3" t="s">
        <v>93</v>
      </c>
      <c r="Q41" s="3">
        <v>7</v>
      </c>
      <c r="R41" s="3">
        <v>7</v>
      </c>
      <c r="S41" s="3" t="b">
        <v>0</v>
      </c>
      <c r="T41" s="3" t="str">
        <f>B41&amp;"_"&amp;C41&amp;"_"&amp;H41</f>
        <v>USPS_FIRSTCLASS_SAMEDAY</v>
      </c>
    </row>
    <row r="42" spans="1:20" s="19" customFormat="1" ht="15.75" x14ac:dyDescent="0.25">
      <c r="A42" s="19">
        <v>10004</v>
      </c>
      <c r="B42" s="19" t="s">
        <v>28</v>
      </c>
      <c r="C42" s="19" t="s">
        <v>35</v>
      </c>
      <c r="D42" s="19">
        <v>1152262</v>
      </c>
      <c r="E42" s="19" t="s">
        <v>173</v>
      </c>
      <c r="F42" s="21">
        <v>43704.999988425923</v>
      </c>
      <c r="G42" s="19" t="s">
        <v>79</v>
      </c>
      <c r="H42" s="19" t="s">
        <v>77</v>
      </c>
      <c r="I42" s="3">
        <v>24717</v>
      </c>
      <c r="J42" s="19" t="str">
        <f>B42&amp;"_"&amp;C42</f>
        <v>USPS_PRIORITY_EXPRESS</v>
      </c>
      <c r="K42" s="5" t="s">
        <v>137</v>
      </c>
      <c r="O42" s="19" t="s">
        <v>85</v>
      </c>
      <c r="P42" s="19" t="s">
        <v>93</v>
      </c>
      <c r="Q42" s="19">
        <v>161</v>
      </c>
      <c r="R42" s="19">
        <v>161</v>
      </c>
      <c r="S42" s="19" t="b">
        <v>0</v>
      </c>
      <c r="T42" s="19" t="str">
        <f>B42&amp;"_"&amp;C42&amp;"_"&amp;H42</f>
        <v>USPS_PRIORITY_EXPRESS_SAMEDAY</v>
      </c>
    </row>
    <row r="43" spans="1:20" ht="15.75" x14ac:dyDescent="0.25">
      <c r="A43" s="3">
        <v>10004</v>
      </c>
      <c r="B43" s="3" t="s">
        <v>28</v>
      </c>
      <c r="C43" s="3" t="s">
        <v>35</v>
      </c>
      <c r="D43" s="3">
        <v>1106012</v>
      </c>
      <c r="E43" s="3" t="s">
        <v>174</v>
      </c>
      <c r="F43" s="21">
        <v>43704.999988425923</v>
      </c>
      <c r="G43" s="3" t="s">
        <v>79</v>
      </c>
      <c r="H43" s="3" t="s">
        <v>77</v>
      </c>
      <c r="I43" s="3">
        <v>24685</v>
      </c>
      <c r="J43" s="3" t="str">
        <f>B43&amp;"_"&amp;C43</f>
        <v>USPS_PRIORITY_EXPRESS</v>
      </c>
      <c r="K43" s="5" t="s">
        <v>103</v>
      </c>
      <c r="O43" s="3" t="s">
        <v>85</v>
      </c>
      <c r="P43" s="3" t="s">
        <v>93</v>
      </c>
      <c r="Q43" s="3">
        <v>160</v>
      </c>
      <c r="R43" s="3">
        <v>160</v>
      </c>
      <c r="S43" s="3" t="b">
        <v>0</v>
      </c>
      <c r="T43" s="3" t="str">
        <f>B43&amp;"_"&amp;C43&amp;"_"&amp;H43</f>
        <v>USPS_PRIORITY_EXPRESS_SAMEDAY</v>
      </c>
    </row>
    <row r="44" spans="1:20" ht="15.75" x14ac:dyDescent="0.25">
      <c r="A44" s="3">
        <v>10004</v>
      </c>
      <c r="B44" s="3" t="s">
        <v>28</v>
      </c>
      <c r="C44" s="3" t="s">
        <v>35</v>
      </c>
      <c r="D44" s="3">
        <v>1090964</v>
      </c>
      <c r="E44" s="3" t="s">
        <v>175</v>
      </c>
      <c r="F44" s="21">
        <v>43704.999988425923</v>
      </c>
      <c r="G44" s="3" t="s">
        <v>79</v>
      </c>
      <c r="H44" s="3" t="s">
        <v>77</v>
      </c>
      <c r="I44" s="3">
        <v>24685</v>
      </c>
      <c r="J44" s="3" t="str">
        <f>B44&amp;"_"&amp;C44</f>
        <v>USPS_PRIORITY_EXPRESS</v>
      </c>
      <c r="K44" s="5" t="s">
        <v>103</v>
      </c>
      <c r="O44" s="3" t="s">
        <v>85</v>
      </c>
      <c r="P44" s="3" t="s">
        <v>93</v>
      </c>
      <c r="Q44" s="3">
        <v>2</v>
      </c>
      <c r="R44" s="3">
        <v>2</v>
      </c>
      <c r="S44" s="3" t="b">
        <v>0</v>
      </c>
      <c r="T44" s="3" t="str">
        <f>B44&amp;"_"&amp;C44&amp;"_"&amp;H44</f>
        <v>USPS_PRIORITY_EXPRESS_SAMEDAY</v>
      </c>
    </row>
    <row r="45" spans="1:20" s="19" customFormat="1" ht="15.75" x14ac:dyDescent="0.25">
      <c r="A45" s="19">
        <v>10005</v>
      </c>
      <c r="B45" s="19" t="s">
        <v>28</v>
      </c>
      <c r="C45" s="19" t="s">
        <v>29</v>
      </c>
      <c r="D45" s="19">
        <v>1152652</v>
      </c>
      <c r="E45" s="3" t="s">
        <v>176</v>
      </c>
      <c r="F45" s="21">
        <v>43704.999988425923</v>
      </c>
      <c r="G45" s="19" t="s">
        <v>79</v>
      </c>
      <c r="H45" s="19" t="s">
        <v>77</v>
      </c>
      <c r="I45" s="3">
        <v>24715</v>
      </c>
      <c r="J45" s="19" t="str">
        <f>B45&amp;"_"&amp;C45</f>
        <v>USPS_PRIORITY</v>
      </c>
      <c r="K45" s="5" t="s">
        <v>138</v>
      </c>
      <c r="O45" s="19" t="s">
        <v>85</v>
      </c>
      <c r="P45" s="19" t="s">
        <v>93</v>
      </c>
      <c r="Q45" s="19">
        <v>190</v>
      </c>
      <c r="R45" s="19">
        <v>190</v>
      </c>
      <c r="S45" s="19" t="b">
        <v>0</v>
      </c>
      <c r="T45" s="19" t="str">
        <f>B45&amp;"_"&amp;C45&amp;"_"&amp;H45</f>
        <v>USPS_PRIORITY_SAMEDAY</v>
      </c>
    </row>
    <row r="46" spans="1:20" ht="15.75" x14ac:dyDescent="0.25">
      <c r="A46" s="3">
        <v>10005</v>
      </c>
      <c r="B46" s="3" t="s">
        <v>28</v>
      </c>
      <c r="C46" s="3" t="s">
        <v>29</v>
      </c>
      <c r="D46" s="3">
        <v>1106012</v>
      </c>
      <c r="E46" s="3" t="s">
        <v>174</v>
      </c>
      <c r="F46" s="21">
        <v>43704.999988425923</v>
      </c>
      <c r="G46" s="3" t="s">
        <v>79</v>
      </c>
      <c r="H46" s="3" t="s">
        <v>77</v>
      </c>
      <c r="I46" s="3">
        <v>24659</v>
      </c>
      <c r="J46" s="3" t="str">
        <f>B46&amp;"_"&amp;C46</f>
        <v>USPS_PRIORITY</v>
      </c>
      <c r="K46" s="5" t="s">
        <v>102</v>
      </c>
      <c r="O46" s="3" t="s">
        <v>85</v>
      </c>
      <c r="P46" s="3" t="s">
        <v>93</v>
      </c>
      <c r="Q46" s="3">
        <v>128</v>
      </c>
      <c r="R46" s="3">
        <v>128</v>
      </c>
      <c r="S46" s="3" t="b">
        <v>0</v>
      </c>
      <c r="T46" s="3" t="str">
        <f>B46&amp;"_"&amp;C46&amp;"_"&amp;H46</f>
        <v>USPS_PRIORITY_SAMEDAY</v>
      </c>
    </row>
    <row r="47" spans="1:20" ht="15.75" x14ac:dyDescent="0.25">
      <c r="A47" s="3">
        <v>10005</v>
      </c>
      <c r="B47" s="3" t="s">
        <v>28</v>
      </c>
      <c r="C47" s="3" t="s">
        <v>29</v>
      </c>
      <c r="D47" s="3">
        <v>1123128</v>
      </c>
      <c r="E47" s="3" t="s">
        <v>177</v>
      </c>
      <c r="F47" s="21">
        <v>43704.999988425923</v>
      </c>
      <c r="G47" s="3" t="s">
        <v>79</v>
      </c>
      <c r="H47" s="3" t="s">
        <v>77</v>
      </c>
      <c r="I47" s="3">
        <v>24659</v>
      </c>
      <c r="J47" s="3" t="str">
        <f>B47&amp;"_"&amp;C47</f>
        <v>USPS_PRIORITY</v>
      </c>
      <c r="K47" s="5" t="s">
        <v>102</v>
      </c>
      <c r="O47" s="3" t="s">
        <v>85</v>
      </c>
      <c r="P47" s="3" t="s">
        <v>93</v>
      </c>
      <c r="Q47" s="3">
        <v>42</v>
      </c>
      <c r="R47" s="3">
        <v>42</v>
      </c>
      <c r="S47" s="3" t="b">
        <v>0</v>
      </c>
      <c r="T47" s="3" t="str">
        <f>B47&amp;"_"&amp;C47&amp;"_"&amp;H47</f>
        <v>USPS_PRIORITY_SAMEDAY</v>
      </c>
    </row>
    <row r="48" spans="1:20" s="19" customFormat="1" ht="15.75" x14ac:dyDescent="0.25">
      <c r="A48" s="19">
        <v>10005</v>
      </c>
      <c r="B48" s="19" t="s">
        <v>28</v>
      </c>
      <c r="C48" s="19" t="s">
        <v>29</v>
      </c>
      <c r="D48" s="19">
        <v>1185555</v>
      </c>
      <c r="E48" s="19" t="s">
        <v>178</v>
      </c>
      <c r="F48" s="21">
        <v>43704.999988425923</v>
      </c>
      <c r="G48" s="19" t="s">
        <v>3</v>
      </c>
      <c r="H48" s="19" t="s">
        <v>77</v>
      </c>
      <c r="I48" s="3">
        <v>24715</v>
      </c>
      <c r="J48" s="19" t="str">
        <f>B48&amp;"_"&amp;C48</f>
        <v>USPS_PRIORITY</v>
      </c>
      <c r="K48" s="5" t="s">
        <v>138</v>
      </c>
      <c r="L48" s="19">
        <v>24710</v>
      </c>
      <c r="M48" s="19" t="s">
        <v>47</v>
      </c>
      <c r="N48" s="19" t="s">
        <v>128</v>
      </c>
      <c r="O48" s="19" t="s">
        <v>11</v>
      </c>
      <c r="P48" s="19" t="s">
        <v>93</v>
      </c>
      <c r="Q48" s="19">
        <v>175</v>
      </c>
      <c r="R48" s="19">
        <v>175</v>
      </c>
      <c r="S48" s="19" t="b">
        <v>0</v>
      </c>
      <c r="T48" s="19" t="str">
        <f>B48&amp;"_"&amp;C48&amp;"_"&amp;H48</f>
        <v>USPS_PRIORITY_SAMEDAY</v>
      </c>
    </row>
    <row r="49" spans="1:20" ht="15.75" x14ac:dyDescent="0.25">
      <c r="A49" s="3">
        <v>10005</v>
      </c>
      <c r="B49" s="3" t="s">
        <v>28</v>
      </c>
      <c r="C49" s="3" t="s">
        <v>29</v>
      </c>
      <c r="D49" s="3">
        <v>1169315</v>
      </c>
      <c r="E49" s="3" t="s">
        <v>179</v>
      </c>
      <c r="F49" s="21">
        <v>43704.999988425923</v>
      </c>
      <c r="G49" s="3" t="s">
        <v>3</v>
      </c>
      <c r="H49" s="3" t="s">
        <v>77</v>
      </c>
      <c r="I49" s="3">
        <v>24659</v>
      </c>
      <c r="J49" s="3" t="str">
        <f>B49&amp;"_"&amp;C49</f>
        <v>USPS_PRIORITY</v>
      </c>
      <c r="K49" s="5" t="s">
        <v>102</v>
      </c>
      <c r="L49" s="3">
        <v>24710</v>
      </c>
      <c r="M49" s="3" t="s">
        <v>47</v>
      </c>
      <c r="N49" s="3" t="s">
        <v>128</v>
      </c>
      <c r="O49" s="3" t="s">
        <v>11</v>
      </c>
      <c r="P49" s="3" t="s">
        <v>93</v>
      </c>
      <c r="Q49" s="3">
        <v>160</v>
      </c>
      <c r="R49" s="3">
        <v>160</v>
      </c>
      <c r="S49" s="3" t="b">
        <v>0</v>
      </c>
      <c r="T49" s="3" t="str">
        <f>B49&amp;"_"&amp;C49&amp;"_"&amp;H49</f>
        <v>USPS_PRIORITY_SAMEDAY</v>
      </c>
    </row>
    <row r="50" spans="1:20" ht="15.75" x14ac:dyDescent="0.25">
      <c r="A50" s="3">
        <v>10005</v>
      </c>
      <c r="B50" s="3" t="s">
        <v>28</v>
      </c>
      <c r="C50" s="3" t="s">
        <v>29</v>
      </c>
      <c r="D50" s="3">
        <v>1170102</v>
      </c>
      <c r="E50" s="3" t="s">
        <v>180</v>
      </c>
      <c r="F50" s="21">
        <v>43704.999988425923</v>
      </c>
      <c r="G50" s="3" t="s">
        <v>3</v>
      </c>
      <c r="H50" s="3" t="s">
        <v>77</v>
      </c>
      <c r="I50" s="3">
        <v>24659</v>
      </c>
      <c r="J50" s="3" t="str">
        <f>B50&amp;"_"&amp;C50</f>
        <v>USPS_PRIORITY</v>
      </c>
      <c r="K50" s="5" t="s">
        <v>102</v>
      </c>
      <c r="L50" s="3">
        <v>24710</v>
      </c>
      <c r="M50" s="3" t="s">
        <v>47</v>
      </c>
      <c r="N50" s="3" t="s">
        <v>128</v>
      </c>
      <c r="O50" s="3" t="s">
        <v>11</v>
      </c>
      <c r="P50" s="3" t="s">
        <v>93</v>
      </c>
      <c r="Q50" s="3">
        <v>4</v>
      </c>
      <c r="R50" s="3">
        <v>4</v>
      </c>
      <c r="S50" s="3" t="b">
        <v>0</v>
      </c>
      <c r="T50" s="3" t="str">
        <f>B50&amp;"_"&amp;C50&amp;"_"&amp;H50</f>
        <v>USPS_PRIORITY_SAMEDAY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"/>
  <sheetViews>
    <sheetView topLeftCell="B15" workbookViewId="0">
      <selection activeCell="D31" sqref="D31:D36"/>
    </sheetView>
  </sheetViews>
  <sheetFormatPr defaultRowHeight="15" x14ac:dyDescent="0.25"/>
  <cols>
    <col min="1" max="1" width="20.7109375" bestFit="1" customWidth="1"/>
    <col min="2" max="2" width="14.85546875" bestFit="1" customWidth="1"/>
    <col min="3" max="3" width="39" style="1" bestFit="1" customWidth="1"/>
    <col min="4" max="4" width="123.140625" bestFit="1" customWidth="1"/>
    <col min="9" max="9" width="62.85546875" bestFit="1" customWidth="1"/>
  </cols>
  <sheetData>
    <row r="1" spans="1:11" x14ac:dyDescent="0.25">
      <c r="A1" t="s">
        <v>1</v>
      </c>
      <c r="B1" t="s">
        <v>32</v>
      </c>
      <c r="C1" s="1" t="s">
        <v>40</v>
      </c>
      <c r="D1" t="s">
        <v>41</v>
      </c>
    </row>
    <row r="2" spans="1:11" x14ac:dyDescent="0.25">
      <c r="A2" t="s">
        <v>31</v>
      </c>
      <c r="B2">
        <v>9</v>
      </c>
      <c r="D2" t="s">
        <v>46</v>
      </c>
      <c r="I2" t="s">
        <v>34</v>
      </c>
    </row>
    <row r="3" spans="1:11" ht="60" x14ac:dyDescent="0.25">
      <c r="A3" t="s">
        <v>7</v>
      </c>
      <c r="B3">
        <v>184</v>
      </c>
      <c r="C3" s="1" t="s">
        <v>43</v>
      </c>
      <c r="D3" t="s">
        <v>42</v>
      </c>
    </row>
    <row r="4" spans="1:11" x14ac:dyDescent="0.25">
      <c r="A4" t="s">
        <v>8</v>
      </c>
      <c r="B4">
        <v>128</v>
      </c>
      <c r="D4" t="s">
        <v>44</v>
      </c>
    </row>
    <row r="5" spans="1:11" x14ac:dyDescent="0.25">
      <c r="A5" t="s">
        <v>33</v>
      </c>
      <c r="B5">
        <v>5</v>
      </c>
      <c r="D5" t="s">
        <v>45</v>
      </c>
    </row>
    <row r="6" spans="1:11" x14ac:dyDescent="0.25">
      <c r="A6" t="s">
        <v>14</v>
      </c>
      <c r="B6">
        <v>125</v>
      </c>
      <c r="C6" s="1" t="s">
        <v>39</v>
      </c>
      <c r="D6" t="s">
        <v>38</v>
      </c>
    </row>
    <row r="7" spans="1:11" x14ac:dyDescent="0.25">
      <c r="A7" t="s">
        <v>29</v>
      </c>
      <c r="B7">
        <v>128</v>
      </c>
      <c r="D7" t="s">
        <v>37</v>
      </c>
    </row>
    <row r="8" spans="1:11" x14ac:dyDescent="0.25">
      <c r="A8" t="s">
        <v>35</v>
      </c>
      <c r="B8">
        <v>120</v>
      </c>
      <c r="D8" t="s">
        <v>36</v>
      </c>
    </row>
    <row r="12" spans="1:11" x14ac:dyDescent="0.25">
      <c r="B12" s="2"/>
      <c r="C12"/>
      <c r="E12" s="2"/>
      <c r="I12" s="2"/>
      <c r="J12" s="2"/>
    </row>
    <row r="13" spans="1:11" x14ac:dyDescent="0.25">
      <c r="B13" s="2"/>
      <c r="C13"/>
      <c r="E13" s="2"/>
      <c r="I13" s="2"/>
      <c r="J13" s="2"/>
    </row>
    <row r="14" spans="1:11" x14ac:dyDescent="0.25">
      <c r="B14" s="2"/>
      <c r="C14"/>
      <c r="E14" s="2"/>
      <c r="I14" s="2"/>
      <c r="J14" s="2"/>
    </row>
    <row r="15" spans="1:11" x14ac:dyDescent="0.25">
      <c r="B15" s="2"/>
      <c r="C15"/>
      <c r="D15" t="s">
        <v>70</v>
      </c>
      <c r="E15" s="2"/>
      <c r="I15" s="2"/>
      <c r="J15" s="2"/>
    </row>
    <row r="16" spans="1:11" x14ac:dyDescent="0.25">
      <c r="B16" s="2"/>
      <c r="C16" t="s">
        <v>5</v>
      </c>
      <c r="E16" s="2"/>
      <c r="F16" t="s">
        <v>6</v>
      </c>
      <c r="I16" s="2"/>
      <c r="J16" s="2"/>
      <c r="K16" t="s">
        <v>9</v>
      </c>
    </row>
    <row r="17" spans="2:10" x14ac:dyDescent="0.25">
      <c r="B17" s="2"/>
      <c r="C17" t="s">
        <v>7</v>
      </c>
      <c r="E17" s="2"/>
      <c r="F17" t="s">
        <v>2</v>
      </c>
      <c r="I17" s="2"/>
      <c r="J17" s="2"/>
    </row>
    <row r="18" spans="2:10" x14ac:dyDescent="0.25">
      <c r="B18" s="2"/>
      <c r="C18" t="s">
        <v>8</v>
      </c>
      <c r="E18" s="2"/>
      <c r="F18" t="s">
        <v>2</v>
      </c>
      <c r="I18" s="2"/>
      <c r="J18" s="2"/>
    </row>
    <row r="19" spans="2:10" x14ac:dyDescent="0.25">
      <c r="B19" s="2"/>
      <c r="C19"/>
      <c r="E19" s="2"/>
      <c r="I19" s="2"/>
      <c r="J19" s="2"/>
    </row>
    <row r="24" spans="2:10" x14ac:dyDescent="0.25">
      <c r="D24" t="s">
        <v>71</v>
      </c>
    </row>
    <row r="25" spans="2:10" x14ac:dyDescent="0.25">
      <c r="D25" t="s">
        <v>72</v>
      </c>
    </row>
    <row r="28" spans="2:10" x14ac:dyDescent="0.25">
      <c r="D28" t="s">
        <v>73</v>
      </c>
    </row>
    <row r="29" spans="2:10" x14ac:dyDescent="0.25">
      <c r="D29" t="s">
        <v>74</v>
      </c>
    </row>
    <row r="31" spans="2:10" x14ac:dyDescent="0.25">
      <c r="D31" t="s">
        <v>86</v>
      </c>
    </row>
    <row r="32" spans="2:10" x14ac:dyDescent="0.25">
      <c r="D32" t="s">
        <v>87</v>
      </c>
    </row>
    <row r="35" spans="4:4" x14ac:dyDescent="0.25">
      <c r="D35" t="s">
        <v>88</v>
      </c>
    </row>
    <row r="36" spans="4:4" x14ac:dyDescent="0.25">
      <c r="D36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18"/>
  <sheetViews>
    <sheetView workbookViewId="0">
      <selection sqref="A1:K18"/>
    </sheetView>
  </sheetViews>
  <sheetFormatPr defaultRowHeight="15" x14ac:dyDescent="0.25"/>
  <cols>
    <col min="10" max="10" width="59.85546875" bestFit="1" customWidth="1"/>
    <col min="11" max="11" width="12" bestFit="1" customWidth="1"/>
  </cols>
  <sheetData>
    <row r="2" spans="2:11" x14ac:dyDescent="0.25">
      <c r="C2" t="s">
        <v>52</v>
      </c>
      <c r="F2" t="s">
        <v>53</v>
      </c>
      <c r="J2" t="s">
        <v>67</v>
      </c>
    </row>
    <row r="4" spans="2:11" x14ac:dyDescent="0.25">
      <c r="C4" t="s">
        <v>54</v>
      </c>
      <c r="E4" t="s">
        <v>60</v>
      </c>
      <c r="F4" t="s">
        <v>60</v>
      </c>
      <c r="G4" t="s">
        <v>60</v>
      </c>
      <c r="H4" t="s">
        <v>61</v>
      </c>
    </row>
    <row r="5" spans="2:11" x14ac:dyDescent="0.25">
      <c r="C5" t="s">
        <v>55</v>
      </c>
      <c r="D5" t="s">
        <v>56</v>
      </c>
      <c r="E5" t="s">
        <v>50</v>
      </c>
      <c r="F5" t="s">
        <v>57</v>
      </c>
      <c r="G5" t="s">
        <v>1</v>
      </c>
      <c r="H5" t="s">
        <v>59</v>
      </c>
    </row>
    <row r="6" spans="2:11" x14ac:dyDescent="0.25">
      <c r="C6">
        <v>1</v>
      </c>
      <c r="D6">
        <v>10</v>
      </c>
      <c r="E6" t="s">
        <v>28</v>
      </c>
      <c r="F6" t="s">
        <v>0</v>
      </c>
      <c r="G6" t="s">
        <v>58</v>
      </c>
      <c r="H6" t="s">
        <v>58</v>
      </c>
    </row>
    <row r="7" spans="2:11" x14ac:dyDescent="0.25">
      <c r="C7">
        <v>11</v>
      </c>
      <c r="D7">
        <v>999</v>
      </c>
      <c r="E7" t="s">
        <v>51</v>
      </c>
      <c r="F7" t="s">
        <v>63</v>
      </c>
      <c r="G7" t="s">
        <v>58</v>
      </c>
      <c r="H7" t="s">
        <v>58</v>
      </c>
    </row>
    <row r="11" spans="2:11" x14ac:dyDescent="0.25">
      <c r="B11" t="s">
        <v>66</v>
      </c>
      <c r="C11" t="s">
        <v>62</v>
      </c>
      <c r="G11" t="s">
        <v>1</v>
      </c>
      <c r="H11" t="s">
        <v>59</v>
      </c>
      <c r="J11" t="s">
        <v>68</v>
      </c>
      <c r="K11" t="s">
        <v>69</v>
      </c>
    </row>
    <row r="12" spans="2:11" x14ac:dyDescent="0.25">
      <c r="B12" t="s">
        <v>90</v>
      </c>
      <c r="C12">
        <v>1</v>
      </c>
      <c r="D12" t="s">
        <v>64</v>
      </c>
      <c r="H12" t="s">
        <v>91</v>
      </c>
    </row>
    <row r="13" spans="2:11" x14ac:dyDescent="0.25">
      <c r="B13" t="s">
        <v>90</v>
      </c>
      <c r="C13">
        <v>2</v>
      </c>
      <c r="D13" t="s">
        <v>65</v>
      </c>
    </row>
    <row r="17" spans="1:7" x14ac:dyDescent="0.25">
      <c r="A17" t="s">
        <v>83</v>
      </c>
      <c r="B17" t="s">
        <v>28</v>
      </c>
      <c r="C17" t="s">
        <v>29</v>
      </c>
      <c r="D17" t="s">
        <v>77</v>
      </c>
      <c r="E17" t="str">
        <f>B17&amp;"_"&amp;C17</f>
        <v>USPS_PRIORITY</v>
      </c>
      <c r="G17" t="s">
        <v>11</v>
      </c>
    </row>
    <row r="18" spans="1:7" x14ac:dyDescent="0.25">
      <c r="A18" t="s">
        <v>83</v>
      </c>
      <c r="B18" t="s">
        <v>51</v>
      </c>
      <c r="C18" t="s">
        <v>14</v>
      </c>
      <c r="D18" t="s">
        <v>77</v>
      </c>
      <c r="E18" t="str">
        <f>B18&amp;"_"&amp;C18</f>
        <v>FedEx_PRIORITY_OVERNIGHT</v>
      </c>
      <c r="G18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G6" sqref="G6"/>
    </sheetView>
  </sheetViews>
  <sheetFormatPr defaultRowHeight="15" x14ac:dyDescent="0.25"/>
  <cols>
    <col min="1" max="1" width="27.28515625" bestFit="1" customWidth="1"/>
    <col min="2" max="2" width="21.5703125" bestFit="1" customWidth="1"/>
    <col min="3" max="3" width="57.42578125" bestFit="1" customWidth="1"/>
  </cols>
  <sheetData>
    <row r="1" spans="1:3" x14ac:dyDescent="0.25">
      <c r="A1" s="3" t="s">
        <v>96</v>
      </c>
      <c r="B1" s="3" t="s">
        <v>97</v>
      </c>
      <c r="C1" s="3" t="s">
        <v>98</v>
      </c>
    </row>
    <row r="2" spans="1:3" x14ac:dyDescent="0.25">
      <c r="A2" s="3" t="s">
        <v>84</v>
      </c>
      <c r="B2" s="3">
        <v>24658</v>
      </c>
      <c r="C2" s="3" t="s">
        <v>99</v>
      </c>
    </row>
    <row r="3" spans="1:3" x14ac:dyDescent="0.25">
      <c r="A3" s="3" t="s">
        <v>7</v>
      </c>
      <c r="B3" s="3">
        <v>24673</v>
      </c>
      <c r="C3" s="3" t="s">
        <v>100</v>
      </c>
    </row>
    <row r="4" spans="1:3" x14ac:dyDescent="0.25">
      <c r="A4" s="3" t="s">
        <v>33</v>
      </c>
      <c r="B4" s="3">
        <v>17292</v>
      </c>
      <c r="C4" s="3" t="s">
        <v>105</v>
      </c>
    </row>
    <row r="5" spans="1:3" x14ac:dyDescent="0.25">
      <c r="A5" s="3" t="s">
        <v>31</v>
      </c>
      <c r="B5" s="3">
        <v>24679</v>
      </c>
      <c r="C5" s="3" t="s">
        <v>104</v>
      </c>
    </row>
    <row r="6" spans="1:3" x14ac:dyDescent="0.25">
      <c r="A6" s="3" t="s">
        <v>48</v>
      </c>
      <c r="B6" s="3">
        <v>24685</v>
      </c>
      <c r="C6" s="3" t="s">
        <v>103</v>
      </c>
    </row>
    <row r="7" spans="1:3" x14ac:dyDescent="0.25">
      <c r="A7" s="3" t="s">
        <v>30</v>
      </c>
      <c r="B7" s="3">
        <v>24659</v>
      </c>
      <c r="C7" s="3" t="s">
        <v>102</v>
      </c>
    </row>
    <row r="8" spans="1:3" x14ac:dyDescent="0.25">
      <c r="A8" s="4" t="s">
        <v>49</v>
      </c>
      <c r="B8" s="3">
        <v>24674</v>
      </c>
      <c r="C8" s="3" t="s">
        <v>101</v>
      </c>
    </row>
    <row r="9" spans="1:3" x14ac:dyDescent="0.25">
      <c r="A9" s="4" t="s">
        <v>47</v>
      </c>
      <c r="B9" s="3"/>
      <c r="C9" s="3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8"/>
  <sheetViews>
    <sheetView topLeftCell="A28" workbookViewId="0">
      <selection activeCell="K38" sqref="K38"/>
    </sheetView>
  </sheetViews>
  <sheetFormatPr defaultRowHeight="15" x14ac:dyDescent="0.25"/>
  <cols>
    <col min="1" max="1" width="15.85546875" style="3" bestFit="1" customWidth="1"/>
    <col min="2" max="2" width="20.7109375" style="3" bestFit="1" customWidth="1"/>
    <col min="3" max="3" width="10.85546875" style="3" bestFit="1" customWidth="1"/>
    <col min="4" max="4" width="9.5703125" style="3" bestFit="1" customWidth="1"/>
    <col min="5" max="5" width="15.5703125" style="3" bestFit="1" customWidth="1"/>
    <col min="6" max="6" width="10" style="3" bestFit="1" customWidth="1"/>
    <col min="7" max="7" width="11.5703125" style="3" bestFit="1" customWidth="1"/>
    <col min="8" max="8" width="12.5703125" style="8" bestFit="1" customWidth="1"/>
    <col min="9" max="9" width="12.85546875" style="8" bestFit="1" customWidth="1"/>
    <col min="10" max="10" width="27.28515625" style="3" hidden="1" customWidth="1"/>
    <col min="11" max="11" width="103.42578125" style="3" bestFit="1" customWidth="1"/>
    <col min="12" max="12" width="10.42578125" style="3" bestFit="1" customWidth="1"/>
    <col min="13" max="13" width="14.7109375" style="3" bestFit="1" customWidth="1"/>
    <col min="14" max="14" width="19.7109375" style="3" bestFit="1" customWidth="1"/>
    <col min="15" max="15" width="37.140625" style="3" bestFit="1" customWidth="1"/>
    <col min="16" max="16384" width="9.140625" style="3"/>
  </cols>
  <sheetData>
    <row r="1" spans="1:15" x14ac:dyDescent="0.25">
      <c r="A1" s="3" t="s">
        <v>12</v>
      </c>
      <c r="B1" s="3" t="s">
        <v>13</v>
      </c>
      <c r="C1" s="3" t="s">
        <v>15</v>
      </c>
      <c r="D1" s="3" t="s">
        <v>76</v>
      </c>
      <c r="E1" s="3" t="s">
        <v>22</v>
      </c>
      <c r="F1" s="3" t="s">
        <v>26</v>
      </c>
      <c r="G1" s="3" t="s">
        <v>92</v>
      </c>
      <c r="H1" s="8" t="s">
        <v>110</v>
      </c>
      <c r="I1" s="8" t="s">
        <v>111</v>
      </c>
      <c r="J1" s="3" t="s">
        <v>94</v>
      </c>
      <c r="K1" s="3" t="s">
        <v>23</v>
      </c>
      <c r="L1" s="3" t="s">
        <v>24</v>
      </c>
      <c r="M1" s="3" t="s">
        <v>95</v>
      </c>
      <c r="N1" s="3" t="s">
        <v>25</v>
      </c>
      <c r="O1" s="3" t="s">
        <v>75</v>
      </c>
    </row>
    <row r="2" spans="1:15" ht="15.75" x14ac:dyDescent="0.25">
      <c r="A2" s="3" t="s">
        <v>51</v>
      </c>
      <c r="B2" s="3" t="s">
        <v>14</v>
      </c>
      <c r="C2" s="3" t="s">
        <v>79</v>
      </c>
      <c r="D2" s="3" t="s">
        <v>77</v>
      </c>
      <c r="E2" s="3">
        <v>24658</v>
      </c>
      <c r="F2" s="3" t="s">
        <v>85</v>
      </c>
      <c r="G2" s="3" t="s">
        <v>93</v>
      </c>
      <c r="H2" s="8">
        <v>1</v>
      </c>
      <c r="I2" s="8">
        <v>160</v>
      </c>
      <c r="J2" s="3" t="str">
        <f>A2&amp;"_"&amp;B2</f>
        <v>FedEx_PRIORITY_OVERNIGHT</v>
      </c>
      <c r="K2" s="5" t="s">
        <v>99</v>
      </c>
      <c r="O2" s="3" t="str">
        <f t="shared" ref="O2:O42" si="0">A2&amp;"_"&amp;B2&amp;"_"&amp;D2</f>
        <v>FedEx_PRIORITY_OVERNIGHT_SAMEDAY</v>
      </c>
    </row>
    <row r="3" spans="1:15" ht="15.75" x14ac:dyDescent="0.25">
      <c r="A3" s="3" t="s">
        <v>51</v>
      </c>
      <c r="B3" s="3" t="s">
        <v>14</v>
      </c>
      <c r="C3" s="3" t="s">
        <v>79</v>
      </c>
      <c r="D3" s="3" t="s">
        <v>77</v>
      </c>
      <c r="E3" s="3">
        <v>24714</v>
      </c>
      <c r="F3" s="3" t="s">
        <v>85</v>
      </c>
      <c r="G3" s="3" t="s">
        <v>93</v>
      </c>
      <c r="H3" s="8">
        <v>161</v>
      </c>
      <c r="I3" s="8">
        <v>999</v>
      </c>
      <c r="J3" s="3" t="str">
        <f>A3&amp;"_"&amp;B3</f>
        <v>FedEx_PRIORITY_OVERNIGHT</v>
      </c>
      <c r="K3" s="5" t="s">
        <v>136</v>
      </c>
      <c r="O3" s="3" t="str">
        <f t="shared" ref="O3" si="1">A3&amp;"_"&amp;B3&amp;"_"&amp;D3</f>
        <v>FedEx_PRIORITY_OVERNIGHT_SAMEDAY</v>
      </c>
    </row>
    <row r="4" spans="1:15" ht="15.75" x14ac:dyDescent="0.25">
      <c r="A4" s="3" t="s">
        <v>28</v>
      </c>
      <c r="B4" s="3" t="s">
        <v>109</v>
      </c>
      <c r="C4" s="3" t="s">
        <v>81</v>
      </c>
      <c r="D4" s="3" t="s">
        <v>77</v>
      </c>
      <c r="E4" s="3">
        <v>22192</v>
      </c>
      <c r="F4" s="3" t="s">
        <v>11</v>
      </c>
      <c r="G4" s="3" t="s">
        <v>93</v>
      </c>
      <c r="H4" s="8">
        <v>1</v>
      </c>
      <c r="I4" s="8">
        <v>7</v>
      </c>
      <c r="J4" s="3" t="s">
        <v>7</v>
      </c>
      <c r="K4" s="5" t="s">
        <v>139</v>
      </c>
      <c r="O4" s="3" t="str">
        <f t="shared" ref="O4" si="2">A4&amp;"_"&amp;B4&amp;"_"&amp;D4</f>
        <v>USPS_FIRSTCLASS_SAMEDAY</v>
      </c>
    </row>
    <row r="5" spans="1:15" ht="15.75" x14ac:dyDescent="0.25">
      <c r="A5" s="3" t="s">
        <v>28</v>
      </c>
      <c r="B5" s="3" t="s">
        <v>109</v>
      </c>
      <c r="C5" s="3" t="s">
        <v>81</v>
      </c>
      <c r="D5" s="3" t="s">
        <v>77</v>
      </c>
      <c r="E5" s="3">
        <v>17292</v>
      </c>
      <c r="F5" s="3" t="s">
        <v>11</v>
      </c>
      <c r="G5" s="3" t="s">
        <v>93</v>
      </c>
      <c r="H5" s="8">
        <v>8</v>
      </c>
      <c r="I5" s="8">
        <v>10</v>
      </c>
      <c r="J5" s="3" t="s">
        <v>7</v>
      </c>
      <c r="K5" s="5" t="s">
        <v>140</v>
      </c>
      <c r="O5" s="3" t="str">
        <f t="shared" ref="O5" si="3">A5&amp;"_"&amp;B5&amp;"_"&amp;D5</f>
        <v>USPS_FIRSTCLASS_SAMEDAY</v>
      </c>
    </row>
    <row r="6" spans="1:15" ht="15.75" x14ac:dyDescent="0.25">
      <c r="A6" s="3" t="s">
        <v>28</v>
      </c>
      <c r="B6" s="3" t="s">
        <v>109</v>
      </c>
      <c r="C6" s="3" t="s">
        <v>81</v>
      </c>
      <c r="D6" s="3" t="s">
        <v>77</v>
      </c>
      <c r="E6" s="3">
        <v>24673</v>
      </c>
      <c r="F6" s="3" t="s">
        <v>11</v>
      </c>
      <c r="G6" s="3" t="s">
        <v>93</v>
      </c>
      <c r="H6" s="8">
        <v>11</v>
      </c>
      <c r="I6" s="8">
        <v>90</v>
      </c>
      <c r="J6" s="3" t="s">
        <v>7</v>
      </c>
      <c r="K6" s="5" t="s">
        <v>100</v>
      </c>
      <c r="O6" s="3" t="str">
        <f t="shared" si="0"/>
        <v>USPS_FIRSTCLASS_SAMEDAY</v>
      </c>
    </row>
    <row r="7" spans="1:15" ht="15.75" x14ac:dyDescent="0.25">
      <c r="A7" s="3" t="s">
        <v>28</v>
      </c>
      <c r="B7" s="3" t="s">
        <v>109</v>
      </c>
      <c r="C7" s="3" t="s">
        <v>81</v>
      </c>
      <c r="D7" s="3" t="s">
        <v>77</v>
      </c>
      <c r="E7" s="3">
        <v>24672</v>
      </c>
      <c r="F7" s="3" t="s">
        <v>11</v>
      </c>
      <c r="G7" s="3" t="s">
        <v>93</v>
      </c>
      <c r="H7" s="8">
        <v>91</v>
      </c>
      <c r="I7" s="8">
        <v>160</v>
      </c>
      <c r="J7" s="3" t="s">
        <v>7</v>
      </c>
      <c r="K7" s="5" t="s">
        <v>141</v>
      </c>
      <c r="O7" s="3" t="str">
        <f t="shared" si="0"/>
        <v>USPS_FIRSTCLASS_SAMEDAY</v>
      </c>
    </row>
    <row r="8" spans="1:15" s="22" customFormat="1" ht="15.75" x14ac:dyDescent="0.25">
      <c r="A8" s="22" t="s">
        <v>28</v>
      </c>
      <c r="B8" s="22" t="s">
        <v>109</v>
      </c>
      <c r="C8" s="22" t="s">
        <v>81</v>
      </c>
      <c r="D8" s="22" t="s">
        <v>77</v>
      </c>
      <c r="E8" s="22" t="s">
        <v>142</v>
      </c>
      <c r="F8" s="22" t="s">
        <v>11</v>
      </c>
      <c r="G8" s="22" t="s">
        <v>93</v>
      </c>
      <c r="H8" s="23">
        <v>161</v>
      </c>
      <c r="I8" s="23">
        <v>999</v>
      </c>
      <c r="K8" s="24" t="s">
        <v>142</v>
      </c>
      <c r="O8" s="22" t="str">
        <f t="shared" ref="O8" si="4">A8&amp;"_"&amp;B8&amp;"_"&amp;D8</f>
        <v>USPS_FIRSTCLASS_SAMEDAY</v>
      </c>
    </row>
    <row r="9" spans="1:15" ht="15.75" x14ac:dyDescent="0.25">
      <c r="A9" s="3" t="s">
        <v>28</v>
      </c>
      <c r="B9" s="3" t="s">
        <v>109</v>
      </c>
      <c r="C9" s="3" t="s">
        <v>82</v>
      </c>
      <c r="D9" s="3" t="s">
        <v>77</v>
      </c>
      <c r="E9" s="3">
        <v>22192</v>
      </c>
      <c r="F9" s="3" t="s">
        <v>11</v>
      </c>
      <c r="G9" s="3" t="s">
        <v>93</v>
      </c>
      <c r="H9" s="8">
        <v>1</v>
      </c>
      <c r="I9" s="8">
        <v>7</v>
      </c>
      <c r="J9" s="3" t="s">
        <v>33</v>
      </c>
      <c r="K9" s="6" t="s">
        <v>105</v>
      </c>
      <c r="O9" s="3" t="str">
        <f t="shared" ref="O9" si="5">A9&amp;"_"&amp;B9&amp;"_"&amp;D9</f>
        <v>USPS_FIRSTCLASS_SAMEDAY</v>
      </c>
    </row>
    <row r="10" spans="1:15" ht="15.75" x14ac:dyDescent="0.25">
      <c r="A10" s="3" t="s">
        <v>28</v>
      </c>
      <c r="B10" s="3" t="s">
        <v>0</v>
      </c>
      <c r="C10" s="3" t="s">
        <v>79</v>
      </c>
      <c r="D10" s="3" t="s">
        <v>78</v>
      </c>
      <c r="E10" s="3">
        <v>24679</v>
      </c>
      <c r="F10" s="3" t="s">
        <v>85</v>
      </c>
      <c r="G10" s="3" t="s">
        <v>93</v>
      </c>
      <c r="H10" s="8">
        <v>1</v>
      </c>
      <c r="I10" s="8">
        <v>7</v>
      </c>
      <c r="J10" s="3" t="s">
        <v>31</v>
      </c>
      <c r="K10" s="5" t="s">
        <v>104</v>
      </c>
      <c r="O10" s="3" t="str">
        <f t="shared" si="0"/>
        <v>USPS_IMB_NEXTDAY</v>
      </c>
    </row>
    <row r="11" spans="1:15" ht="15.75" x14ac:dyDescent="0.25">
      <c r="A11" s="3" t="s">
        <v>28</v>
      </c>
      <c r="B11" s="3" t="s">
        <v>0</v>
      </c>
      <c r="C11" s="3" t="s">
        <v>80</v>
      </c>
      <c r="D11" s="3" t="s">
        <v>77</v>
      </c>
      <c r="E11" s="3">
        <v>22192</v>
      </c>
      <c r="F11" s="3" t="s">
        <v>11</v>
      </c>
      <c r="G11" s="3" t="s">
        <v>93</v>
      </c>
      <c r="H11" s="8">
        <v>1</v>
      </c>
      <c r="I11" s="8">
        <v>7</v>
      </c>
      <c r="J11" s="3" t="s">
        <v>7</v>
      </c>
      <c r="K11" s="5" t="s">
        <v>139</v>
      </c>
      <c r="O11" s="3" t="str">
        <f t="shared" ref="O11" si="6">A11&amp;"_"&amp;B11&amp;"_"&amp;D11</f>
        <v>USPS_IMB_SAMEDAY</v>
      </c>
    </row>
    <row r="12" spans="1:15" ht="15.75" x14ac:dyDescent="0.25">
      <c r="A12" s="3" t="s">
        <v>28</v>
      </c>
      <c r="B12" s="3" t="s">
        <v>0</v>
      </c>
      <c r="C12" s="3" t="s">
        <v>80</v>
      </c>
      <c r="D12" s="3" t="s">
        <v>77</v>
      </c>
      <c r="E12" s="3">
        <v>17292</v>
      </c>
      <c r="F12" s="3" t="s">
        <v>11</v>
      </c>
      <c r="G12" s="3" t="s">
        <v>93</v>
      </c>
      <c r="H12" s="8">
        <v>8</v>
      </c>
      <c r="I12" s="8">
        <v>10</v>
      </c>
      <c r="J12" s="3" t="s">
        <v>7</v>
      </c>
      <c r="K12" s="5" t="s">
        <v>140</v>
      </c>
      <c r="O12" s="3" t="str">
        <f t="shared" si="0"/>
        <v>USPS_IMB_SAMEDAY</v>
      </c>
    </row>
    <row r="13" spans="1:15" ht="15.75" x14ac:dyDescent="0.25">
      <c r="A13" s="3" t="s">
        <v>28</v>
      </c>
      <c r="B13" s="3" t="s">
        <v>0</v>
      </c>
      <c r="C13" s="3" t="s">
        <v>80</v>
      </c>
      <c r="D13" s="3" t="s">
        <v>77</v>
      </c>
      <c r="E13" s="3">
        <v>24673</v>
      </c>
      <c r="F13" s="3" t="s">
        <v>11</v>
      </c>
      <c r="G13" s="3" t="s">
        <v>93</v>
      </c>
      <c r="H13" s="8">
        <v>11</v>
      </c>
      <c r="I13" s="8">
        <v>90</v>
      </c>
      <c r="J13" s="3" t="s">
        <v>7</v>
      </c>
      <c r="K13" s="5" t="s">
        <v>100</v>
      </c>
      <c r="O13" s="3" t="str">
        <f t="shared" ref="O13:O14" si="7">A13&amp;"_"&amp;B13&amp;"_"&amp;D13</f>
        <v>USPS_IMB_SAMEDAY</v>
      </c>
    </row>
    <row r="14" spans="1:15" ht="15.75" x14ac:dyDescent="0.25">
      <c r="A14" s="3" t="s">
        <v>28</v>
      </c>
      <c r="B14" s="3" t="s">
        <v>0</v>
      </c>
      <c r="C14" s="3" t="s">
        <v>80</v>
      </c>
      <c r="D14" s="3" t="s">
        <v>77</v>
      </c>
      <c r="E14" s="3">
        <v>24672</v>
      </c>
      <c r="F14" s="3" t="s">
        <v>11</v>
      </c>
      <c r="G14" s="3" t="s">
        <v>93</v>
      </c>
      <c r="H14" s="8">
        <v>91</v>
      </c>
      <c r="I14" s="8">
        <v>160</v>
      </c>
      <c r="J14" s="3" t="s">
        <v>7</v>
      </c>
      <c r="K14" s="5" t="s">
        <v>141</v>
      </c>
      <c r="O14" s="3" t="str">
        <f t="shared" si="7"/>
        <v>USPS_IMB_SAMEDAY</v>
      </c>
    </row>
    <row r="15" spans="1:15" s="22" customFormat="1" ht="15.75" x14ac:dyDescent="0.25">
      <c r="A15" s="22" t="s">
        <v>28</v>
      </c>
      <c r="B15" s="22" t="s">
        <v>0</v>
      </c>
      <c r="C15" s="22" t="s">
        <v>80</v>
      </c>
      <c r="D15" s="22" t="s">
        <v>77</v>
      </c>
      <c r="E15" s="22" t="s">
        <v>142</v>
      </c>
      <c r="F15" s="22" t="s">
        <v>11</v>
      </c>
      <c r="G15" s="22" t="s">
        <v>93</v>
      </c>
      <c r="H15" s="23">
        <v>161</v>
      </c>
      <c r="I15" s="23">
        <v>999</v>
      </c>
      <c r="J15" s="22" t="s">
        <v>7</v>
      </c>
      <c r="K15" s="24" t="s">
        <v>142</v>
      </c>
      <c r="O15" s="22" t="str">
        <f t="shared" ref="O15" si="8">A15&amp;"_"&amp;B15&amp;"_"&amp;D15</f>
        <v>USPS_IMB_SAMEDAY</v>
      </c>
    </row>
    <row r="16" spans="1:15" ht="15.75" x14ac:dyDescent="0.25">
      <c r="A16" s="3" t="s">
        <v>28</v>
      </c>
      <c r="B16" s="3" t="s">
        <v>0</v>
      </c>
      <c r="C16" s="3" t="s">
        <v>4</v>
      </c>
      <c r="D16" s="3" t="s">
        <v>77</v>
      </c>
      <c r="E16" s="3">
        <v>22192</v>
      </c>
      <c r="F16" s="3" t="s">
        <v>11</v>
      </c>
      <c r="G16" s="3" t="s">
        <v>93</v>
      </c>
      <c r="H16" s="8">
        <v>1</v>
      </c>
      <c r="I16" s="8">
        <v>7</v>
      </c>
      <c r="J16" s="3" t="s">
        <v>7</v>
      </c>
      <c r="K16" s="5" t="s">
        <v>139</v>
      </c>
      <c r="O16" s="3" t="str">
        <f t="shared" si="0"/>
        <v>USPS_IMB_SAMEDAY</v>
      </c>
    </row>
    <row r="17" spans="1:15" ht="15.75" x14ac:dyDescent="0.25">
      <c r="A17" s="3" t="s">
        <v>28</v>
      </c>
      <c r="B17" s="3" t="s">
        <v>0</v>
      </c>
      <c r="C17" s="3" t="s">
        <v>4</v>
      </c>
      <c r="D17" s="3" t="s">
        <v>77</v>
      </c>
      <c r="E17" s="3">
        <v>17292</v>
      </c>
      <c r="F17" s="3" t="s">
        <v>11</v>
      </c>
      <c r="G17" s="3" t="s">
        <v>93</v>
      </c>
      <c r="H17" s="8">
        <v>8</v>
      </c>
      <c r="I17" s="8">
        <v>10</v>
      </c>
      <c r="J17" s="3" t="s">
        <v>7</v>
      </c>
      <c r="K17" s="5" t="s">
        <v>140</v>
      </c>
      <c r="O17" s="3" t="str">
        <f t="shared" ref="O17" si="9">A17&amp;"_"&amp;B17&amp;"_"&amp;D17</f>
        <v>USPS_IMB_SAMEDAY</v>
      </c>
    </row>
    <row r="18" spans="1:15" ht="15.75" x14ac:dyDescent="0.25">
      <c r="A18" s="3" t="s">
        <v>28</v>
      </c>
      <c r="B18" s="3" t="s">
        <v>0</v>
      </c>
      <c r="C18" s="3" t="s">
        <v>4</v>
      </c>
      <c r="D18" s="3" t="s">
        <v>77</v>
      </c>
      <c r="E18" s="3">
        <v>24673</v>
      </c>
      <c r="F18" s="3" t="s">
        <v>11</v>
      </c>
      <c r="G18" s="3" t="s">
        <v>93</v>
      </c>
      <c r="H18" s="8">
        <v>11</v>
      </c>
      <c r="I18" s="8">
        <v>90</v>
      </c>
      <c r="J18" s="3" t="s">
        <v>7</v>
      </c>
      <c r="K18" s="5" t="s">
        <v>100</v>
      </c>
      <c r="O18" s="3" t="str">
        <f t="shared" ref="O18" si="10">A18&amp;"_"&amp;B18&amp;"_"&amp;D18</f>
        <v>USPS_IMB_SAMEDAY</v>
      </c>
    </row>
    <row r="19" spans="1:15" ht="15.75" x14ac:dyDescent="0.25">
      <c r="A19" s="3" t="s">
        <v>28</v>
      </c>
      <c r="B19" s="3" t="s">
        <v>0</v>
      </c>
      <c r="C19" s="3" t="s">
        <v>4</v>
      </c>
      <c r="D19" s="3" t="s">
        <v>77</v>
      </c>
      <c r="E19" s="3">
        <v>24672</v>
      </c>
      <c r="F19" s="3" t="s">
        <v>11</v>
      </c>
      <c r="G19" s="3" t="s">
        <v>93</v>
      </c>
      <c r="H19" s="8">
        <v>91</v>
      </c>
      <c r="I19" s="8">
        <v>160</v>
      </c>
      <c r="J19" s="3" t="s">
        <v>7</v>
      </c>
      <c r="K19" s="5" t="s">
        <v>141</v>
      </c>
      <c r="O19" s="3" t="str">
        <f t="shared" ref="O19" si="11">A19&amp;"_"&amp;B19&amp;"_"&amp;D19</f>
        <v>USPS_IMB_SAMEDAY</v>
      </c>
    </row>
    <row r="20" spans="1:15" s="22" customFormat="1" ht="15.75" x14ac:dyDescent="0.25">
      <c r="A20" s="22" t="s">
        <v>28</v>
      </c>
      <c r="B20" s="22" t="s">
        <v>0</v>
      </c>
      <c r="C20" s="22" t="s">
        <v>4</v>
      </c>
      <c r="D20" s="22" t="s">
        <v>77</v>
      </c>
      <c r="E20" s="22" t="s">
        <v>142</v>
      </c>
      <c r="F20" s="22" t="s">
        <v>11</v>
      </c>
      <c r="G20" s="22" t="s">
        <v>93</v>
      </c>
      <c r="H20" s="23">
        <v>161</v>
      </c>
      <c r="I20" s="23">
        <v>999</v>
      </c>
      <c r="J20" s="22" t="s">
        <v>7</v>
      </c>
      <c r="K20" s="24" t="s">
        <v>142</v>
      </c>
      <c r="O20" s="22" t="str">
        <f t="shared" ref="O20" si="12">A20&amp;"_"&amp;B20&amp;"_"&amp;D20</f>
        <v>USPS_IMB_SAMEDAY</v>
      </c>
    </row>
    <row r="21" spans="1:15" ht="15.75" x14ac:dyDescent="0.25">
      <c r="A21" s="3" t="s">
        <v>28</v>
      </c>
      <c r="B21" s="3" t="s">
        <v>0</v>
      </c>
      <c r="C21" s="3" t="s">
        <v>4</v>
      </c>
      <c r="D21" s="3" t="s">
        <v>77</v>
      </c>
      <c r="E21" s="3">
        <v>22192</v>
      </c>
      <c r="F21" s="3" t="s">
        <v>10</v>
      </c>
      <c r="G21" s="3" t="s">
        <v>93</v>
      </c>
      <c r="H21" s="8">
        <v>1</v>
      </c>
      <c r="I21" s="8">
        <v>7</v>
      </c>
      <c r="J21" s="3" t="s">
        <v>7</v>
      </c>
      <c r="K21" s="5" t="s">
        <v>139</v>
      </c>
      <c r="O21" s="3" t="str">
        <f t="shared" si="0"/>
        <v>USPS_IMB_SAMEDAY</v>
      </c>
    </row>
    <row r="22" spans="1:15" ht="15.75" x14ac:dyDescent="0.25">
      <c r="A22" s="3" t="s">
        <v>28</v>
      </c>
      <c r="B22" s="3" t="s">
        <v>0</v>
      </c>
      <c r="C22" s="3" t="s">
        <v>4</v>
      </c>
      <c r="D22" s="3" t="s">
        <v>77</v>
      </c>
      <c r="E22" s="3">
        <v>17292</v>
      </c>
      <c r="F22" s="3" t="s">
        <v>10</v>
      </c>
      <c r="G22" s="3" t="s">
        <v>93</v>
      </c>
      <c r="H22" s="8">
        <v>8</v>
      </c>
      <c r="I22" s="8">
        <v>10</v>
      </c>
      <c r="J22" s="3" t="s">
        <v>7</v>
      </c>
      <c r="K22" s="5" t="s">
        <v>140</v>
      </c>
      <c r="O22" s="3" t="str">
        <f t="shared" ref="O22" si="13">A22&amp;"_"&amp;B22&amp;"_"&amp;D22</f>
        <v>USPS_IMB_SAMEDAY</v>
      </c>
    </row>
    <row r="23" spans="1:15" ht="15.75" x14ac:dyDescent="0.25">
      <c r="A23" s="3" t="s">
        <v>28</v>
      </c>
      <c r="B23" s="3" t="s">
        <v>0</v>
      </c>
      <c r="C23" s="3" t="s">
        <v>4</v>
      </c>
      <c r="D23" s="3" t="s">
        <v>77</v>
      </c>
      <c r="E23" s="3">
        <v>24673</v>
      </c>
      <c r="F23" s="3" t="s">
        <v>10</v>
      </c>
      <c r="G23" s="3" t="s">
        <v>93</v>
      </c>
      <c r="H23" s="8">
        <v>11</v>
      </c>
      <c r="I23" s="8">
        <v>90</v>
      </c>
      <c r="J23" s="3" t="s">
        <v>7</v>
      </c>
      <c r="K23" s="5" t="s">
        <v>100</v>
      </c>
      <c r="O23" s="3" t="str">
        <f t="shared" ref="O23" si="14">A23&amp;"_"&amp;B23&amp;"_"&amp;D23</f>
        <v>USPS_IMB_SAMEDAY</v>
      </c>
    </row>
    <row r="24" spans="1:15" ht="15.75" x14ac:dyDescent="0.25">
      <c r="A24" s="3" t="s">
        <v>28</v>
      </c>
      <c r="B24" s="3" t="s">
        <v>0</v>
      </c>
      <c r="C24" s="3" t="s">
        <v>4</v>
      </c>
      <c r="D24" s="3" t="s">
        <v>77</v>
      </c>
      <c r="E24" s="3">
        <v>24672</v>
      </c>
      <c r="F24" s="3" t="s">
        <v>10</v>
      </c>
      <c r="G24" s="3" t="s">
        <v>93</v>
      </c>
      <c r="H24" s="8">
        <v>91</v>
      </c>
      <c r="I24" s="8">
        <v>160</v>
      </c>
      <c r="J24" s="3" t="s">
        <v>7</v>
      </c>
      <c r="K24" s="5" t="s">
        <v>141</v>
      </c>
      <c r="O24" s="3" t="str">
        <f t="shared" ref="O24" si="15">A24&amp;"_"&amp;B24&amp;"_"&amp;D24</f>
        <v>USPS_IMB_SAMEDAY</v>
      </c>
    </row>
    <row r="25" spans="1:15" s="22" customFormat="1" ht="15.75" x14ac:dyDescent="0.25">
      <c r="A25" s="22" t="s">
        <v>28</v>
      </c>
      <c r="B25" s="22" t="s">
        <v>0</v>
      </c>
      <c r="C25" s="22" t="s">
        <v>4</v>
      </c>
      <c r="D25" s="22" t="s">
        <v>77</v>
      </c>
      <c r="E25" s="22" t="s">
        <v>142</v>
      </c>
      <c r="F25" s="22" t="s">
        <v>10</v>
      </c>
      <c r="G25" s="22" t="s">
        <v>93</v>
      </c>
      <c r="H25" s="23">
        <v>161</v>
      </c>
      <c r="I25" s="23">
        <v>999</v>
      </c>
      <c r="J25" s="22" t="s">
        <v>7</v>
      </c>
      <c r="K25" s="24" t="s">
        <v>142</v>
      </c>
      <c r="O25" s="22" t="str">
        <f t="shared" ref="O25" si="16">A25&amp;"_"&amp;B25&amp;"_"&amp;D25</f>
        <v>USPS_IMB_SAMEDAY</v>
      </c>
    </row>
    <row r="26" spans="1:15" ht="15.75" x14ac:dyDescent="0.25">
      <c r="A26" s="3" t="s">
        <v>28</v>
      </c>
      <c r="B26" s="3" t="s">
        <v>0</v>
      </c>
      <c r="C26" s="3" t="s">
        <v>4</v>
      </c>
      <c r="D26" s="3" t="s">
        <v>77</v>
      </c>
      <c r="E26" s="3">
        <v>22192</v>
      </c>
      <c r="F26" s="3" t="s">
        <v>11</v>
      </c>
      <c r="G26" s="3" t="s">
        <v>93</v>
      </c>
      <c r="H26" s="8">
        <v>1</v>
      </c>
      <c r="I26" s="8">
        <v>7</v>
      </c>
      <c r="J26" s="3" t="s">
        <v>7</v>
      </c>
      <c r="K26" s="5" t="s">
        <v>139</v>
      </c>
      <c r="L26" s="3">
        <v>24709</v>
      </c>
      <c r="M26" s="3" t="s">
        <v>49</v>
      </c>
      <c r="N26" s="5" t="s">
        <v>127</v>
      </c>
      <c r="O26" s="3" t="str">
        <f t="shared" si="0"/>
        <v>USPS_IMB_SAMEDAY</v>
      </c>
    </row>
    <row r="27" spans="1:15" ht="15.75" x14ac:dyDescent="0.25">
      <c r="A27" s="3" t="s">
        <v>28</v>
      </c>
      <c r="B27" s="3" t="s">
        <v>0</v>
      </c>
      <c r="C27" s="3" t="s">
        <v>4</v>
      </c>
      <c r="D27" s="3" t="s">
        <v>77</v>
      </c>
      <c r="E27" s="3">
        <v>17292</v>
      </c>
      <c r="F27" s="3" t="s">
        <v>11</v>
      </c>
      <c r="G27" s="3" t="s">
        <v>93</v>
      </c>
      <c r="H27" s="8">
        <v>8</v>
      </c>
      <c r="I27" s="8">
        <v>10</v>
      </c>
      <c r="J27" s="3" t="s">
        <v>7</v>
      </c>
      <c r="K27" s="5" t="s">
        <v>140</v>
      </c>
      <c r="L27" s="3">
        <v>24709</v>
      </c>
      <c r="M27" s="3" t="s">
        <v>49</v>
      </c>
      <c r="N27" s="5" t="s">
        <v>127</v>
      </c>
      <c r="O27" s="3" t="str">
        <f t="shared" ref="O27" si="17">A27&amp;"_"&amp;B27&amp;"_"&amp;D27</f>
        <v>USPS_IMB_SAMEDAY</v>
      </c>
    </row>
    <row r="28" spans="1:15" ht="15.75" x14ac:dyDescent="0.25">
      <c r="A28" s="3" t="s">
        <v>28</v>
      </c>
      <c r="B28" s="3" t="s">
        <v>0</v>
      </c>
      <c r="C28" s="3" t="s">
        <v>4</v>
      </c>
      <c r="D28" s="3" t="s">
        <v>77</v>
      </c>
      <c r="E28" s="3">
        <v>24673</v>
      </c>
      <c r="F28" s="3" t="s">
        <v>11</v>
      </c>
      <c r="G28" s="3" t="s">
        <v>93</v>
      </c>
      <c r="H28" s="8">
        <v>11</v>
      </c>
      <c r="I28" s="8">
        <v>90</v>
      </c>
      <c r="J28" s="3" t="s">
        <v>7</v>
      </c>
      <c r="K28" s="5" t="s">
        <v>100</v>
      </c>
      <c r="L28" s="3">
        <v>24709</v>
      </c>
      <c r="M28" s="3" t="s">
        <v>49</v>
      </c>
      <c r="N28" s="5" t="s">
        <v>127</v>
      </c>
      <c r="O28" s="3" t="str">
        <f t="shared" ref="O28:O32" si="18">A28&amp;"_"&amp;B28&amp;"_"&amp;D28</f>
        <v>USPS_IMB_SAMEDAY</v>
      </c>
    </row>
    <row r="29" spans="1:15" ht="15.75" x14ac:dyDescent="0.25">
      <c r="A29" s="3" t="s">
        <v>28</v>
      </c>
      <c r="B29" s="3" t="s">
        <v>0</v>
      </c>
      <c r="C29" s="3" t="s">
        <v>4</v>
      </c>
      <c r="D29" s="3" t="s">
        <v>77</v>
      </c>
      <c r="E29" s="3">
        <v>24672</v>
      </c>
      <c r="F29" s="3" t="s">
        <v>11</v>
      </c>
      <c r="G29" s="3" t="s">
        <v>93</v>
      </c>
      <c r="H29" s="8">
        <v>91</v>
      </c>
      <c r="I29" s="8">
        <v>160</v>
      </c>
      <c r="J29" s="3" t="s">
        <v>7</v>
      </c>
      <c r="K29" s="5" t="s">
        <v>141</v>
      </c>
      <c r="L29" s="3">
        <v>24709</v>
      </c>
      <c r="M29" s="3" t="s">
        <v>49</v>
      </c>
      <c r="N29" s="5" t="s">
        <v>127</v>
      </c>
      <c r="O29" s="3" t="str">
        <f t="shared" ref="O29" si="19">A29&amp;"_"&amp;B29&amp;"_"&amp;D29</f>
        <v>USPS_IMB_SAMEDAY</v>
      </c>
    </row>
    <row r="30" spans="1:15" s="22" customFormat="1" ht="15.75" x14ac:dyDescent="0.25">
      <c r="A30" s="22" t="s">
        <v>28</v>
      </c>
      <c r="B30" s="22" t="s">
        <v>0</v>
      </c>
      <c r="C30" s="22" t="s">
        <v>4</v>
      </c>
      <c r="D30" s="22" t="s">
        <v>77</v>
      </c>
      <c r="E30" s="22" t="s">
        <v>142</v>
      </c>
      <c r="F30" s="22" t="s">
        <v>11</v>
      </c>
      <c r="G30" s="22" t="s">
        <v>93</v>
      </c>
      <c r="H30" s="23">
        <v>161</v>
      </c>
      <c r="I30" s="23">
        <v>999</v>
      </c>
      <c r="J30" s="22" t="s">
        <v>7</v>
      </c>
      <c r="K30" s="24" t="s">
        <v>142</v>
      </c>
      <c r="L30" s="22">
        <v>24709</v>
      </c>
      <c r="M30" s="22" t="s">
        <v>49</v>
      </c>
      <c r="N30" s="24" t="s">
        <v>127</v>
      </c>
      <c r="O30" s="22" t="str">
        <f t="shared" ref="O30" si="20">A30&amp;"_"&amp;B30&amp;"_"&amp;D30</f>
        <v>USPS_IMB_SAMEDAY</v>
      </c>
    </row>
    <row r="31" spans="1:15" ht="15.75" x14ac:dyDescent="0.25">
      <c r="A31" s="3" t="s">
        <v>28</v>
      </c>
      <c r="B31" s="3" t="s">
        <v>0</v>
      </c>
      <c r="C31" s="3" t="s">
        <v>4</v>
      </c>
      <c r="D31" s="3" t="s">
        <v>77</v>
      </c>
      <c r="E31" s="3">
        <v>22192</v>
      </c>
      <c r="F31" s="3" t="s">
        <v>10</v>
      </c>
      <c r="G31" s="3" t="s">
        <v>93</v>
      </c>
      <c r="H31" s="8">
        <v>1</v>
      </c>
      <c r="I31" s="8">
        <v>7</v>
      </c>
      <c r="J31" s="3" t="s">
        <v>7</v>
      </c>
      <c r="K31" s="5" t="s">
        <v>139</v>
      </c>
      <c r="L31" s="3">
        <v>24709</v>
      </c>
      <c r="M31" s="3" t="s">
        <v>49</v>
      </c>
      <c r="N31" s="5" t="s">
        <v>127</v>
      </c>
      <c r="O31" s="3" t="str">
        <f t="shared" ref="O31" si="21">A31&amp;"_"&amp;B31&amp;"_"&amp;D31</f>
        <v>USPS_IMB_SAMEDAY</v>
      </c>
    </row>
    <row r="32" spans="1:15" ht="15.75" x14ac:dyDescent="0.25">
      <c r="A32" s="3" t="s">
        <v>28</v>
      </c>
      <c r="B32" s="3" t="s">
        <v>0</v>
      </c>
      <c r="C32" s="3" t="s">
        <v>4</v>
      </c>
      <c r="D32" s="3" t="s">
        <v>77</v>
      </c>
      <c r="E32" s="3">
        <v>17292</v>
      </c>
      <c r="F32" s="3" t="s">
        <v>10</v>
      </c>
      <c r="G32" s="3" t="s">
        <v>93</v>
      </c>
      <c r="H32" s="8">
        <v>8</v>
      </c>
      <c r="I32" s="8">
        <v>10</v>
      </c>
      <c r="J32" s="3" t="s">
        <v>7</v>
      </c>
      <c r="K32" s="5" t="s">
        <v>140</v>
      </c>
      <c r="L32" s="3">
        <v>24709</v>
      </c>
      <c r="M32" s="3" t="s">
        <v>49</v>
      </c>
      <c r="N32" s="5" t="s">
        <v>127</v>
      </c>
      <c r="O32" s="3" t="str">
        <f t="shared" si="18"/>
        <v>USPS_IMB_SAMEDAY</v>
      </c>
    </row>
    <row r="33" spans="1:15" ht="15.75" x14ac:dyDescent="0.25">
      <c r="A33" s="3" t="s">
        <v>28</v>
      </c>
      <c r="B33" s="3" t="s">
        <v>0</v>
      </c>
      <c r="C33" s="3" t="s">
        <v>4</v>
      </c>
      <c r="D33" s="3" t="s">
        <v>77</v>
      </c>
      <c r="E33" s="3">
        <v>24673</v>
      </c>
      <c r="F33" s="3" t="s">
        <v>10</v>
      </c>
      <c r="G33" s="3" t="s">
        <v>93</v>
      </c>
      <c r="H33" s="8">
        <v>11</v>
      </c>
      <c r="I33" s="8">
        <v>90</v>
      </c>
      <c r="J33" s="3" t="s">
        <v>7</v>
      </c>
      <c r="K33" s="5" t="s">
        <v>100</v>
      </c>
      <c r="L33" s="3">
        <v>24709</v>
      </c>
      <c r="M33" s="3" t="s">
        <v>49</v>
      </c>
      <c r="N33" s="5" t="s">
        <v>127</v>
      </c>
      <c r="O33" s="3" t="str">
        <f t="shared" si="0"/>
        <v>USPS_IMB_SAMEDAY</v>
      </c>
    </row>
    <row r="34" spans="1:15" ht="15.75" x14ac:dyDescent="0.25">
      <c r="A34" s="3" t="s">
        <v>28</v>
      </c>
      <c r="B34" s="3" t="s">
        <v>0</v>
      </c>
      <c r="C34" s="3" t="s">
        <v>4</v>
      </c>
      <c r="D34" s="3" t="s">
        <v>77</v>
      </c>
      <c r="E34" s="3">
        <v>24672</v>
      </c>
      <c r="F34" s="3" t="s">
        <v>10</v>
      </c>
      <c r="G34" s="3" t="s">
        <v>93</v>
      </c>
      <c r="H34" s="8">
        <v>91</v>
      </c>
      <c r="I34" s="8">
        <v>160</v>
      </c>
      <c r="J34" s="3" t="s">
        <v>7</v>
      </c>
      <c r="K34" s="5" t="s">
        <v>141</v>
      </c>
      <c r="L34" s="3">
        <v>24709</v>
      </c>
      <c r="M34" s="3" t="s">
        <v>49</v>
      </c>
      <c r="N34" s="5" t="s">
        <v>127</v>
      </c>
      <c r="O34" s="3" t="str">
        <f t="shared" ref="O34" si="22">A34&amp;"_"&amp;B34&amp;"_"&amp;D34</f>
        <v>USPS_IMB_SAMEDAY</v>
      </c>
    </row>
    <row r="35" spans="1:15" ht="15.75" x14ac:dyDescent="0.25">
      <c r="A35" s="3" t="s">
        <v>28</v>
      </c>
      <c r="B35" s="3" t="s">
        <v>35</v>
      </c>
      <c r="C35" s="3" t="s">
        <v>79</v>
      </c>
      <c r="D35" s="3" t="s">
        <v>77</v>
      </c>
      <c r="E35" s="3">
        <v>24685</v>
      </c>
      <c r="F35" s="3" t="s">
        <v>85</v>
      </c>
      <c r="G35" s="3" t="s">
        <v>93</v>
      </c>
      <c r="H35" s="8">
        <v>1</v>
      </c>
      <c r="I35" s="8">
        <v>160</v>
      </c>
      <c r="J35" s="3" t="str">
        <f t="shared" ref="J35:J46" si="23">A35&amp;"_"&amp;B35</f>
        <v>USPS_PRIORITY_EXPRESS</v>
      </c>
      <c r="K35" s="5" t="s">
        <v>103</v>
      </c>
      <c r="O35" s="3" t="str">
        <f t="shared" si="0"/>
        <v>USPS_PRIORITY_EXPRESS_SAMEDAY</v>
      </c>
    </row>
    <row r="36" spans="1:15" ht="15.75" x14ac:dyDescent="0.25">
      <c r="A36" s="3" t="s">
        <v>28</v>
      </c>
      <c r="B36" s="3" t="s">
        <v>35</v>
      </c>
      <c r="C36" s="3" t="s">
        <v>79</v>
      </c>
      <c r="D36" s="3" t="s">
        <v>77</v>
      </c>
      <c r="E36" s="3">
        <v>24717</v>
      </c>
      <c r="F36" s="3" t="s">
        <v>85</v>
      </c>
      <c r="G36" s="3" t="s">
        <v>93</v>
      </c>
      <c r="H36" s="8">
        <v>161</v>
      </c>
      <c r="I36" s="8">
        <v>999</v>
      </c>
      <c r="J36" s="3" t="str">
        <f t="shared" ref="J36" si="24">A36&amp;"_"&amp;B36</f>
        <v>USPS_PRIORITY_EXPRESS</v>
      </c>
      <c r="K36" s="5" t="s">
        <v>137</v>
      </c>
      <c r="O36" s="3" t="str">
        <f t="shared" ref="O36" si="25">A36&amp;"_"&amp;B36&amp;"_"&amp;D36</f>
        <v>USPS_PRIORITY_EXPRESS_SAMEDAY</v>
      </c>
    </row>
    <row r="37" spans="1:15" ht="15.75" x14ac:dyDescent="0.25">
      <c r="A37" s="3" t="s">
        <v>28</v>
      </c>
      <c r="B37" s="3" t="s">
        <v>29</v>
      </c>
      <c r="C37" s="3" t="s">
        <v>79</v>
      </c>
      <c r="D37" s="3" t="s">
        <v>77</v>
      </c>
      <c r="E37" s="3">
        <v>24659</v>
      </c>
      <c r="F37" s="3" t="s">
        <v>85</v>
      </c>
      <c r="G37" s="3" t="s">
        <v>93</v>
      </c>
      <c r="H37" s="8">
        <v>1</v>
      </c>
      <c r="I37" s="8">
        <v>160</v>
      </c>
      <c r="J37" s="3" t="str">
        <f t="shared" si="23"/>
        <v>USPS_PRIORITY</v>
      </c>
      <c r="K37" s="5" t="s">
        <v>102</v>
      </c>
      <c r="O37" s="3" t="str">
        <f t="shared" si="0"/>
        <v>USPS_PRIORITY_SAMEDAY</v>
      </c>
    </row>
    <row r="38" spans="1:15" ht="15.75" x14ac:dyDescent="0.25">
      <c r="A38" s="3" t="s">
        <v>28</v>
      </c>
      <c r="B38" s="3" t="s">
        <v>29</v>
      </c>
      <c r="C38" s="3" t="s">
        <v>79</v>
      </c>
      <c r="D38" s="3" t="s">
        <v>77</v>
      </c>
      <c r="E38" s="3">
        <v>24715</v>
      </c>
      <c r="F38" s="3" t="s">
        <v>85</v>
      </c>
      <c r="G38" s="3" t="s">
        <v>93</v>
      </c>
      <c r="H38" s="8">
        <v>161</v>
      </c>
      <c r="I38" s="8">
        <v>999</v>
      </c>
      <c r="J38" s="3" t="str">
        <f t="shared" ref="J38" si="26">A38&amp;"_"&amp;B38</f>
        <v>USPS_PRIORITY</v>
      </c>
      <c r="K38" s="5" t="s">
        <v>138</v>
      </c>
      <c r="O38" s="3" t="str">
        <f t="shared" ref="O38" si="27">A38&amp;"_"&amp;B38&amp;"_"&amp;D38</f>
        <v>USPS_PRIORITY_SAMEDAY</v>
      </c>
    </row>
    <row r="39" spans="1:15" ht="15.75" x14ac:dyDescent="0.25">
      <c r="A39" s="3" t="s">
        <v>28</v>
      </c>
      <c r="B39" s="3" t="s">
        <v>29</v>
      </c>
      <c r="C39" s="3" t="s">
        <v>3</v>
      </c>
      <c r="D39" s="3" t="s">
        <v>77</v>
      </c>
      <c r="E39" s="3">
        <v>24659</v>
      </c>
      <c r="F39" s="3" t="s">
        <v>11</v>
      </c>
      <c r="G39" s="3" t="s">
        <v>93</v>
      </c>
      <c r="H39" s="8">
        <v>1</v>
      </c>
      <c r="I39" s="8">
        <v>160</v>
      </c>
      <c r="J39" s="3" t="str">
        <f t="shared" si="23"/>
        <v>USPS_PRIORITY</v>
      </c>
      <c r="K39" s="5" t="s">
        <v>102</v>
      </c>
      <c r="L39" s="3">
        <v>24710</v>
      </c>
      <c r="M39" s="3" t="s">
        <v>47</v>
      </c>
      <c r="N39" s="3" t="s">
        <v>128</v>
      </c>
      <c r="O39" s="3" t="str">
        <f t="shared" si="0"/>
        <v>USPS_PRIORITY_SAMEDAY</v>
      </c>
    </row>
    <row r="40" spans="1:15" ht="15.75" x14ac:dyDescent="0.25">
      <c r="A40" s="3" t="s">
        <v>28</v>
      </c>
      <c r="B40" s="3" t="s">
        <v>29</v>
      </c>
      <c r="C40" s="3" t="s">
        <v>3</v>
      </c>
      <c r="D40" s="3" t="s">
        <v>77</v>
      </c>
      <c r="E40" s="3">
        <v>24715</v>
      </c>
      <c r="F40" s="3" t="s">
        <v>11</v>
      </c>
      <c r="G40" s="3" t="s">
        <v>93</v>
      </c>
      <c r="H40" s="8">
        <v>161</v>
      </c>
      <c r="I40" s="8">
        <v>999</v>
      </c>
      <c r="J40" s="3" t="str">
        <f t="shared" ref="J40" si="28">A40&amp;"_"&amp;B40</f>
        <v>USPS_PRIORITY</v>
      </c>
      <c r="K40" s="5" t="s">
        <v>138</v>
      </c>
      <c r="L40" s="3">
        <v>24710</v>
      </c>
      <c r="M40" s="3" t="s">
        <v>47</v>
      </c>
      <c r="N40" s="3" t="s">
        <v>128</v>
      </c>
      <c r="O40" s="3" t="str">
        <f t="shared" ref="O40" si="29">A40&amp;"_"&amp;B40&amp;"_"&amp;D40</f>
        <v>USPS_PRIORITY_SAMEDAY</v>
      </c>
    </row>
    <row r="41" spans="1:15" ht="15.75" x14ac:dyDescent="0.25">
      <c r="A41" s="3" t="s">
        <v>28</v>
      </c>
      <c r="B41" s="3" t="s">
        <v>0</v>
      </c>
      <c r="C41" s="3" t="s">
        <v>3</v>
      </c>
      <c r="D41" s="3" t="s">
        <v>77</v>
      </c>
      <c r="E41" s="3">
        <v>22192</v>
      </c>
      <c r="F41" s="3" t="s">
        <v>11</v>
      </c>
      <c r="G41" s="3" t="s">
        <v>93</v>
      </c>
      <c r="H41" s="8">
        <v>1</v>
      </c>
      <c r="I41" s="8">
        <v>7</v>
      </c>
      <c r="J41" s="3" t="s">
        <v>7</v>
      </c>
      <c r="K41" s="5" t="s">
        <v>139</v>
      </c>
      <c r="L41" s="3">
        <v>24710</v>
      </c>
      <c r="M41" s="3" t="s">
        <v>47</v>
      </c>
      <c r="N41" s="3" t="s">
        <v>128</v>
      </c>
      <c r="O41" s="3" t="str">
        <f t="shared" ref="O41" si="30">A41&amp;"_"&amp;B41&amp;"_"&amp;D41</f>
        <v>USPS_IMB_SAMEDAY</v>
      </c>
    </row>
    <row r="42" spans="1:15" ht="15.75" x14ac:dyDescent="0.25">
      <c r="A42" s="3" t="s">
        <v>28</v>
      </c>
      <c r="B42" s="3" t="s">
        <v>0</v>
      </c>
      <c r="C42" s="3" t="s">
        <v>3</v>
      </c>
      <c r="D42" s="3" t="s">
        <v>77</v>
      </c>
      <c r="E42" s="3">
        <v>17292</v>
      </c>
      <c r="F42" s="3" t="s">
        <v>11</v>
      </c>
      <c r="G42" s="3" t="s">
        <v>93</v>
      </c>
      <c r="H42" s="8">
        <v>8</v>
      </c>
      <c r="I42" s="8">
        <v>10</v>
      </c>
      <c r="J42" s="3" t="s">
        <v>7</v>
      </c>
      <c r="K42" s="5" t="s">
        <v>140</v>
      </c>
      <c r="L42" s="3">
        <v>24710</v>
      </c>
      <c r="M42" s="3" t="s">
        <v>47</v>
      </c>
      <c r="N42" s="3" t="s">
        <v>128</v>
      </c>
      <c r="O42" s="3" t="str">
        <f t="shared" si="0"/>
        <v>USPS_IMB_SAMEDAY</v>
      </c>
    </row>
    <row r="43" spans="1:15" ht="15.75" x14ac:dyDescent="0.25">
      <c r="A43" s="3" t="s">
        <v>28</v>
      </c>
      <c r="B43" s="3" t="s">
        <v>0</v>
      </c>
      <c r="C43" s="3" t="s">
        <v>3</v>
      </c>
      <c r="D43" s="3" t="s">
        <v>77</v>
      </c>
      <c r="E43" s="3">
        <v>24673</v>
      </c>
      <c r="F43" s="3" t="s">
        <v>11</v>
      </c>
      <c r="G43" s="3" t="s">
        <v>93</v>
      </c>
      <c r="H43" s="8">
        <v>11</v>
      </c>
      <c r="I43" s="8">
        <v>90</v>
      </c>
      <c r="J43" s="3" t="s">
        <v>7</v>
      </c>
      <c r="K43" s="5" t="s">
        <v>100</v>
      </c>
      <c r="L43" s="3">
        <v>24710</v>
      </c>
      <c r="M43" s="3" t="s">
        <v>47</v>
      </c>
      <c r="N43" s="3" t="s">
        <v>128</v>
      </c>
      <c r="O43" s="3" t="str">
        <f t="shared" ref="O43" si="31">A43&amp;"_"&amp;B43&amp;"_"&amp;D43</f>
        <v>USPS_IMB_SAMEDAY</v>
      </c>
    </row>
    <row r="44" spans="1:15" ht="15.75" x14ac:dyDescent="0.25">
      <c r="A44" s="3" t="s">
        <v>28</v>
      </c>
      <c r="B44" s="3" t="s">
        <v>0</v>
      </c>
      <c r="C44" s="3" t="s">
        <v>3</v>
      </c>
      <c r="D44" s="3" t="s">
        <v>77</v>
      </c>
      <c r="E44" s="3">
        <v>24672</v>
      </c>
      <c r="F44" s="3" t="s">
        <v>11</v>
      </c>
      <c r="G44" s="3" t="s">
        <v>93</v>
      </c>
      <c r="H44" s="8">
        <v>91</v>
      </c>
      <c r="I44" s="8">
        <v>160</v>
      </c>
      <c r="J44" s="3" t="s">
        <v>7</v>
      </c>
      <c r="K44" s="5" t="s">
        <v>141</v>
      </c>
      <c r="L44" s="3">
        <v>24710</v>
      </c>
      <c r="M44" s="3" t="s">
        <v>47</v>
      </c>
      <c r="N44" s="3" t="s">
        <v>128</v>
      </c>
      <c r="O44" s="3" t="str">
        <f t="shared" ref="O44" si="32">A44&amp;"_"&amp;B44&amp;"_"&amp;D44</f>
        <v>USPS_IMB_SAMEDAY</v>
      </c>
    </row>
    <row r="45" spans="1:15" s="22" customFormat="1" ht="15.75" x14ac:dyDescent="0.25">
      <c r="A45" s="22" t="s">
        <v>28</v>
      </c>
      <c r="B45" s="22" t="s">
        <v>0</v>
      </c>
      <c r="C45" s="22" t="s">
        <v>3</v>
      </c>
      <c r="D45" s="22" t="s">
        <v>77</v>
      </c>
      <c r="E45" s="22" t="s">
        <v>142</v>
      </c>
      <c r="F45" s="22" t="s">
        <v>11</v>
      </c>
      <c r="G45" s="22" t="s">
        <v>93</v>
      </c>
      <c r="H45" s="23">
        <v>161</v>
      </c>
      <c r="I45" s="23">
        <v>999</v>
      </c>
      <c r="J45" s="22" t="s">
        <v>7</v>
      </c>
      <c r="K45" s="24" t="s">
        <v>142</v>
      </c>
      <c r="L45" s="22">
        <v>24710</v>
      </c>
      <c r="M45" s="22" t="s">
        <v>47</v>
      </c>
      <c r="N45" s="22" t="s">
        <v>128</v>
      </c>
      <c r="O45" s="22" t="str">
        <f t="shared" ref="O45" si="33">A45&amp;"_"&amp;B45&amp;"_"&amp;D45</f>
        <v>USPS_IMB_SAMEDAY</v>
      </c>
    </row>
    <row r="46" spans="1:15" x14ac:dyDescent="0.25">
      <c r="A46" s="3" t="s">
        <v>28</v>
      </c>
      <c r="B46" s="3" t="s">
        <v>29</v>
      </c>
      <c r="C46" s="3" t="s">
        <v>4</v>
      </c>
      <c r="D46" s="3" t="s">
        <v>77</v>
      </c>
      <c r="E46" s="7">
        <v>24662</v>
      </c>
      <c r="F46" s="3" t="s">
        <v>11</v>
      </c>
      <c r="G46" s="3" t="s">
        <v>93</v>
      </c>
      <c r="H46" s="9">
        <v>1</v>
      </c>
      <c r="I46" s="9">
        <v>160</v>
      </c>
      <c r="J46" s="3" t="str">
        <f t="shared" si="23"/>
        <v>USPS_PRIORITY</v>
      </c>
      <c r="K46" s="3" t="s">
        <v>107</v>
      </c>
    </row>
    <row r="47" spans="1:15" x14ac:dyDescent="0.25">
      <c r="A47" s="3" t="s">
        <v>28</v>
      </c>
      <c r="B47" s="3" t="s">
        <v>29</v>
      </c>
      <c r="C47" s="3" t="s">
        <v>4</v>
      </c>
      <c r="D47" s="3" t="s">
        <v>77</v>
      </c>
      <c r="E47" s="7">
        <v>24662</v>
      </c>
      <c r="F47" s="3" t="s">
        <v>11</v>
      </c>
      <c r="G47" s="3" t="s">
        <v>93</v>
      </c>
      <c r="H47" s="9">
        <v>161</v>
      </c>
      <c r="I47" s="9">
        <v>999</v>
      </c>
      <c r="J47" s="3" t="str">
        <f t="shared" ref="J47" si="34">A47&amp;"_"&amp;B47</f>
        <v>USPS_PRIORITY</v>
      </c>
      <c r="K47" s="3" t="s">
        <v>107</v>
      </c>
    </row>
    <row r="48" spans="1:15" s="4" customFormat="1" x14ac:dyDescent="0.25">
      <c r="A48" s="4" t="s">
        <v>28</v>
      </c>
      <c r="B48" s="4" t="s">
        <v>0</v>
      </c>
      <c r="C48" s="4" t="s">
        <v>4</v>
      </c>
      <c r="D48" s="4" t="s">
        <v>77</v>
      </c>
      <c r="E48" s="16">
        <v>22192</v>
      </c>
      <c r="F48" s="4" t="s">
        <v>11</v>
      </c>
      <c r="G48" s="4" t="s">
        <v>93</v>
      </c>
      <c r="H48" s="17"/>
      <c r="I48" s="17"/>
      <c r="J48" s="4" t="s">
        <v>106</v>
      </c>
      <c r="K48" s="4" t="s">
        <v>108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8C19B-39F5-4430-920C-DD55594374D7}">
  <dimension ref="A1:C6"/>
  <sheetViews>
    <sheetView workbookViewId="0">
      <selection activeCell="A4" sqref="A4"/>
    </sheetView>
  </sheetViews>
  <sheetFormatPr defaultRowHeight="15" x14ac:dyDescent="0.25"/>
  <cols>
    <col min="1" max="1" width="30.5703125" style="13" bestFit="1" customWidth="1"/>
    <col min="2" max="3" width="18.5703125" style="13" bestFit="1" customWidth="1"/>
    <col min="4" max="16384" width="9.140625" style="13"/>
  </cols>
  <sheetData>
    <row r="1" spans="1:3" ht="15.75" thickBot="1" x14ac:dyDescent="0.3">
      <c r="A1" s="11" t="s">
        <v>115</v>
      </c>
      <c r="B1" s="12" t="s">
        <v>116</v>
      </c>
      <c r="C1" s="12" t="s">
        <v>117</v>
      </c>
    </row>
    <row r="2" spans="1:3" ht="15.75" thickBot="1" x14ac:dyDescent="0.3">
      <c r="A2" s="14" t="s">
        <v>112</v>
      </c>
      <c r="B2" s="15" t="s">
        <v>118</v>
      </c>
      <c r="C2" s="15" t="s">
        <v>119</v>
      </c>
    </row>
    <row r="3" spans="1:3" ht="15.75" thickBot="1" x14ac:dyDescent="0.3">
      <c r="A3" s="14" t="s">
        <v>113</v>
      </c>
      <c r="B3" s="15" t="s">
        <v>120</v>
      </c>
      <c r="C3" s="15" t="s">
        <v>121</v>
      </c>
    </row>
    <row r="4" spans="1:3" ht="15.75" thickBot="1" x14ac:dyDescent="0.3">
      <c r="A4" s="14" t="s">
        <v>114</v>
      </c>
      <c r="B4" s="15" t="s">
        <v>122</v>
      </c>
      <c r="C4" s="15" t="s">
        <v>123</v>
      </c>
    </row>
    <row r="5" spans="1:3" ht="15.75" thickBot="1" x14ac:dyDescent="0.3">
      <c r="A5" s="14" t="s">
        <v>124</v>
      </c>
      <c r="B5" s="15" t="s">
        <v>125</v>
      </c>
      <c r="C5" s="15" t="s">
        <v>126</v>
      </c>
    </row>
    <row r="6" spans="1:3" x14ac:dyDescent="0.25">
      <c r="A6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1AA0A-EDA3-4495-9BDA-8CA4546EBD6D}">
  <dimension ref="A1:F13"/>
  <sheetViews>
    <sheetView workbookViewId="0">
      <selection activeCell="C6" sqref="C6"/>
    </sheetView>
  </sheetViews>
  <sheetFormatPr defaultRowHeight="15" x14ac:dyDescent="0.25"/>
  <cols>
    <col min="2" max="2" width="14.85546875" bestFit="1" customWidth="1"/>
    <col min="3" max="3" width="20.7109375" bestFit="1" customWidth="1"/>
    <col min="4" max="4" width="11.5703125" bestFit="1" customWidth="1"/>
    <col min="5" max="5" width="9.85546875" bestFit="1" customWidth="1"/>
    <col min="6" max="6" width="5.7109375" bestFit="1" customWidth="1"/>
  </cols>
  <sheetData>
    <row r="1" spans="1:6" x14ac:dyDescent="0.25">
      <c r="A1" t="s">
        <v>144</v>
      </c>
      <c r="B1" t="s">
        <v>50</v>
      </c>
      <c r="C1" t="s">
        <v>13</v>
      </c>
      <c r="D1" t="s">
        <v>92</v>
      </c>
      <c r="E1" t="s">
        <v>145</v>
      </c>
      <c r="F1" t="s">
        <v>146</v>
      </c>
    </row>
    <row r="2" spans="1:6" x14ac:dyDescent="0.25">
      <c r="A2" t="s">
        <v>80</v>
      </c>
      <c r="B2" t="s">
        <v>28</v>
      </c>
      <c r="C2" t="s">
        <v>109</v>
      </c>
      <c r="D2" t="s">
        <v>93</v>
      </c>
      <c r="E2" t="s">
        <v>11</v>
      </c>
      <c r="F2">
        <v>0</v>
      </c>
    </row>
    <row r="3" spans="1:6" x14ac:dyDescent="0.25">
      <c r="A3" t="s">
        <v>3</v>
      </c>
      <c r="B3" t="s">
        <v>28</v>
      </c>
      <c r="C3" t="s">
        <v>29</v>
      </c>
      <c r="D3" t="s">
        <v>93</v>
      </c>
      <c r="E3" t="s">
        <v>11</v>
      </c>
      <c r="F3">
        <v>1</v>
      </c>
    </row>
    <row r="4" spans="1:6" x14ac:dyDescent="0.25">
      <c r="A4" t="s">
        <v>81</v>
      </c>
      <c r="B4" t="s">
        <v>28</v>
      </c>
      <c r="C4" t="s">
        <v>109</v>
      </c>
      <c r="D4" t="s">
        <v>93</v>
      </c>
      <c r="E4" t="s">
        <v>11</v>
      </c>
      <c r="F4">
        <v>0</v>
      </c>
    </row>
    <row r="5" spans="1:6" x14ac:dyDescent="0.25">
      <c r="A5" t="s">
        <v>4</v>
      </c>
      <c r="B5" t="s">
        <v>28</v>
      </c>
      <c r="C5" t="s">
        <v>109</v>
      </c>
      <c r="D5" t="s">
        <v>93</v>
      </c>
      <c r="E5" t="s">
        <v>11</v>
      </c>
      <c r="F5">
        <v>0</v>
      </c>
    </row>
    <row r="6" spans="1:6" x14ac:dyDescent="0.25">
      <c r="A6" t="s">
        <v>4</v>
      </c>
      <c r="B6" t="s">
        <v>28</v>
      </c>
      <c r="C6" t="s">
        <v>109</v>
      </c>
      <c r="D6" t="s">
        <v>93</v>
      </c>
      <c r="E6" t="s">
        <v>11</v>
      </c>
      <c r="F6">
        <v>1</v>
      </c>
    </row>
    <row r="7" spans="1:6" x14ac:dyDescent="0.25">
      <c r="A7" t="s">
        <v>4</v>
      </c>
      <c r="B7" t="s">
        <v>28</v>
      </c>
      <c r="C7" t="s">
        <v>109</v>
      </c>
      <c r="D7" t="s">
        <v>93</v>
      </c>
      <c r="E7" t="s">
        <v>10</v>
      </c>
      <c r="F7">
        <v>0</v>
      </c>
    </row>
    <row r="8" spans="1:6" x14ac:dyDescent="0.25">
      <c r="A8" t="s">
        <v>4</v>
      </c>
      <c r="B8" t="s">
        <v>28</v>
      </c>
      <c r="C8" t="s">
        <v>109</v>
      </c>
      <c r="D8" t="s">
        <v>93</v>
      </c>
      <c r="E8" t="s">
        <v>10</v>
      </c>
      <c r="F8">
        <v>1</v>
      </c>
    </row>
    <row r="9" spans="1:6" x14ac:dyDescent="0.25">
      <c r="A9" t="s">
        <v>82</v>
      </c>
      <c r="B9" t="s">
        <v>28</v>
      </c>
      <c r="C9" t="s">
        <v>109</v>
      </c>
      <c r="D9" t="s">
        <v>93</v>
      </c>
      <c r="E9" t="s">
        <v>11</v>
      </c>
      <c r="F9">
        <v>0</v>
      </c>
    </row>
    <row r="10" spans="1:6" x14ac:dyDescent="0.25">
      <c r="A10" t="s">
        <v>79</v>
      </c>
      <c r="B10" t="s">
        <v>51</v>
      </c>
      <c r="C10" t="s">
        <v>14</v>
      </c>
      <c r="D10" t="s">
        <v>93</v>
      </c>
      <c r="E10" t="s">
        <v>11</v>
      </c>
      <c r="F10">
        <v>0</v>
      </c>
    </row>
    <row r="11" spans="1:6" x14ac:dyDescent="0.25">
      <c r="A11" t="s">
        <v>79</v>
      </c>
      <c r="B11" t="s">
        <v>28</v>
      </c>
      <c r="C11" t="s">
        <v>109</v>
      </c>
      <c r="D11" t="s">
        <v>93</v>
      </c>
      <c r="E11" t="s">
        <v>11</v>
      </c>
      <c r="F11">
        <v>0</v>
      </c>
    </row>
    <row r="12" spans="1:6" x14ac:dyDescent="0.25">
      <c r="A12" t="s">
        <v>79</v>
      </c>
      <c r="B12" t="s">
        <v>28</v>
      </c>
      <c r="C12" t="s">
        <v>29</v>
      </c>
      <c r="D12" t="s">
        <v>93</v>
      </c>
      <c r="E12" t="s">
        <v>11</v>
      </c>
      <c r="F12">
        <v>0</v>
      </c>
    </row>
    <row r="13" spans="1:6" x14ac:dyDescent="0.25">
      <c r="A13" t="s">
        <v>79</v>
      </c>
      <c r="B13" t="s">
        <v>28</v>
      </c>
      <c r="C13" t="s">
        <v>35</v>
      </c>
      <c r="D13" t="s">
        <v>93</v>
      </c>
      <c r="E13" t="s">
        <v>11</v>
      </c>
      <c r="F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Sheet4</vt:lpstr>
      <vt:lpstr>Queries</vt:lpstr>
      <vt:lpstr>LayoutDesign</vt:lpstr>
      <vt:lpstr>Sheet7</vt:lpstr>
      <vt:lpstr>PackageCombination</vt:lpstr>
      <vt:lpstr>NordisPageCountDistri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Golvelkar</dc:creator>
  <cp:lastModifiedBy>Sagar Golvelkar</cp:lastModifiedBy>
  <dcterms:created xsi:type="dcterms:W3CDTF">2019-08-02T06:27:02Z</dcterms:created>
  <dcterms:modified xsi:type="dcterms:W3CDTF">2019-08-27T13:19:56Z</dcterms:modified>
</cp:coreProperties>
</file>