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60" windowWidth="19875" windowHeight="7710"/>
  </bookViews>
  <sheets>
    <sheet name="Items List" sheetId="1" r:id="rId1"/>
    <sheet name="Test Cases and Results" sheetId="2" r:id="rId2"/>
    <sheet name="Sheet1" sheetId="3" r:id="rId3"/>
  </sheets>
  <definedNames>
    <definedName name="_xlnm._FilterDatabase" localSheetId="0" hidden="1">'Items List'!$A$1:$J$22</definedName>
  </definedNames>
  <calcPr calcId="145621"/>
</workbook>
</file>

<file path=xl/calcChain.xml><?xml version="1.0" encoding="utf-8"?>
<calcChain xmlns="http://schemas.openxmlformats.org/spreadsheetml/2006/main">
  <c r="A20" i="2" l="1"/>
  <c r="A21" i="2"/>
  <c r="A22" i="2"/>
  <c r="A6" i="2"/>
  <c r="A7" i="2" s="1"/>
  <c r="A8" i="2" s="1"/>
  <c r="A9" i="2" s="1"/>
  <c r="A10" i="2" s="1"/>
  <c r="A11" i="2" s="1"/>
  <c r="A12" i="2" s="1"/>
  <c r="A13" i="2" s="1"/>
  <c r="A14" i="2" s="1"/>
  <c r="A15" i="2" s="1"/>
  <c r="A16" i="2" s="1"/>
  <c r="A17" i="2" s="1"/>
  <c r="A18" i="2" s="1"/>
  <c r="A19" i="2" s="1"/>
  <c r="A4" i="2"/>
  <c r="A5" i="2" s="1"/>
  <c r="A3" i="2"/>
  <c r="A50" i="1" l="1"/>
  <c r="A49" i="1"/>
  <c r="A48" i="1"/>
  <c r="A47" i="1"/>
  <c r="A46" i="1"/>
  <c r="A45" i="1"/>
  <c r="A44" i="1"/>
  <c r="A43" i="1"/>
  <c r="A42" i="1"/>
  <c r="A41" i="1"/>
  <c r="A40" i="1"/>
  <c r="A39" i="1"/>
  <c r="A38" i="1"/>
  <c r="A37" i="1"/>
  <c r="A36" i="1"/>
  <c r="A35" i="1"/>
  <c r="A34" i="1"/>
  <c r="A31" i="1"/>
  <c r="A32" i="1" s="1"/>
  <c r="A33" i="1" s="1"/>
  <c r="A50" i="2" l="1"/>
  <c r="A49" i="2"/>
  <c r="A48" i="2"/>
  <c r="A47" i="2"/>
  <c r="A46" i="2"/>
  <c r="A45" i="2"/>
  <c r="A44" i="2"/>
  <c r="A43" i="2"/>
  <c r="A42" i="2"/>
  <c r="A41" i="2"/>
  <c r="A40" i="2"/>
  <c r="A39" i="2"/>
  <c r="A38" i="2"/>
  <c r="A37" i="2"/>
  <c r="A36" i="2"/>
  <c r="A35" i="2"/>
  <c r="A34" i="2"/>
  <c r="A33" i="2"/>
  <c r="A32" i="2"/>
  <c r="A31" i="2"/>
  <c r="A30" i="2"/>
  <c r="A29" i="2"/>
  <c r="A28" i="2"/>
  <c r="A27" i="2"/>
  <c r="A26" i="2"/>
  <c r="A25" i="2"/>
  <c r="A24" i="2"/>
  <c r="A23" i="2"/>
  <c r="A3" i="1" l="1"/>
  <c r="A4" i="1" s="1"/>
  <c r="A5" i="1" l="1"/>
  <c r="A6" i="1" l="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alcChain>
</file>

<file path=xl/sharedStrings.xml><?xml version="1.0" encoding="utf-8"?>
<sst xmlns="http://schemas.openxmlformats.org/spreadsheetml/2006/main" count="187" uniqueCount="126">
  <si>
    <t>Id</t>
  </si>
  <si>
    <t>Item Description</t>
  </si>
  <si>
    <t>Type (Issue, Task, Bug, Feature)</t>
  </si>
  <si>
    <t>Assignee</t>
  </si>
  <si>
    <t>AssignedOn</t>
  </si>
  <si>
    <t>DueOn</t>
  </si>
  <si>
    <t>Remarks</t>
  </si>
  <si>
    <t>LinkedRelease</t>
  </si>
  <si>
    <t>State 
(Backlog, InProgress, Closed, 
OnHold)</t>
  </si>
  <si>
    <t>Req.ID.Case Id</t>
  </si>
  <si>
    <t>Test Case</t>
  </si>
  <si>
    <t>Scenario/Description</t>
  </si>
  <si>
    <t>Expected Result</t>
  </si>
  <si>
    <t>Actual Result</t>
  </si>
  <si>
    <t>Result
Pass / Fail</t>
  </si>
  <si>
    <t>Tester</t>
  </si>
  <si>
    <t>Bug</t>
  </si>
  <si>
    <t>Backlog</t>
  </si>
  <si>
    <t>Effort (In Hours)</t>
  </si>
  <si>
    <t>Return Address is mandatory, it must be provided in one of the following three ways:
1. Mail Piece
2. Mail Batch
3. Doc Type</t>
  </si>
  <si>
    <t>Find out why PnS jobs (esp PnS core) don't exit gracefully and keep running.</t>
  </si>
  <si>
    <t>Resolve deadlock issue</t>
  </si>
  <si>
    <t>Test ALL jobs (AM job, PnS jobs) to see how they perform when DB connection is not available.</t>
  </si>
  <si>
    <t>Task</t>
  </si>
  <si>
    <t>nirav</t>
  </si>
  <si>
    <t xml:space="preserve"> UI changes: new green box on completion, reduce frequency to 60 seconds for all methods.</t>
  </si>
  <si>
    <t>pass</t>
  </si>
  <si>
    <t>1. on complete batch that button will be green
2. on 60 seconds scanned count update in all browsers
3. tested with 60 and more mail pieces
4. tested with adverse action doc. Type
5. backlog batches also</t>
  </si>
  <si>
    <t>Search Records &gt; limit - user can download direct excel file
Search Records &lt; limit - user can get only records</t>
  </si>
  <si>
    <t>purging and done folder</t>
  </si>
  <si>
    <t>AuthoMail urgent issue:
1. Calculate DueDate fix
2. Bundling wait time limit - 18</t>
  </si>
  <si>
    <t>AuthoMail Scanning enhancements:
1. UI changes: new green box on completion, reduce frequency to 60 seconds for all methods.
2. SPs :
a. Create necessary indexes (MRDFRequest -&gt; PrintTrailBatchId)
b. Replace ufn_GetDallasBatchDetails by custom query in RegisterScan stored proc
c. ufn_GetDallasBatchDetails, optimize (remove sub queries for printlocation and startdate)
d. Get all SP changes reviewed by me on Monday.</t>
  </si>
  <si>
    <t>we can also face the same issue for RPS client in future because RPS has a long name so menu items comes down.</t>
  </si>
  <si>
    <t>EffectiveReceivedOn Algorithm:
DB Script (only once during release):
Create a doctype for AMInvalid client. Use "PROVISIONAL" as shipping method and service type. Use 20:00 EST as cut off time. Similarly look for latest cut off time for Saturday.
During Downloading:
If we do not know client id (this can only happen in case of MC interface, in all other interfaces, we will know who the client is):
use AMInvalid client, it has only one doctype, use it as doctype
During Validation:
After doing all this - If mailpiece has ShippingStatus of Error,
if mailpiece has doctypeid,
doctypeid must be stored and EffectiveReceivedOn should be calculated as usual. 
else 
get the doctype based on client id with latest cut off time and use it for calculating EffectiveReceivedOn. DO NOT STORE doctypeid.
In case of ShippingStatus = "Error", DueDate and PrintLocation must be kept NULL. (So no change as we are doing that as of now.)</t>
  </si>
  <si>
    <t>As all of you are aware, health monitor is our last line of defence for AuthoMail. We're also building am Android app to trigger alerts. But that is going to be based on health monitor. If that is not reliable, our app will be meaningless.
That said, I need answers for the following:
1. Why didn't it work as expected? What changes were made to health monitor?
2. Why did we do those changes?
3. Who made these changes?
4. Why wasn't I informed?</t>
  </si>
  <si>
    <t>closed</t>
  </si>
  <si>
    <t>sagar</t>
  </si>
  <si>
    <t>feature</t>
  </si>
  <si>
    <t>issue</t>
  </si>
  <si>
    <t>have you tested that one client cannot search into records of other client?
Scenarios
- using loan number 
- using tracking number
- using error code filter
- using received date filter
- by comparing all reports records
- all cases tested in cross browser
no data found of one client into another client using above search.</t>
  </si>
  <si>
    <t>Client data cross check</t>
  </si>
  <si>
    <t>inprogress</t>
  </si>
  <si>
    <t>increase Dallas bundling time ( For Ex. 15 min then take care for cutoff. It should not go on 8.15pm)</t>
  </si>
  <si>
    <t>AuthoMail enhancements:
1. Health Monitor query fix, pullback fix
2. CSV export all pages, check tracking number
3. PickedupOn issue
4. Recon report
5. AM Scanner fix, query and performance improvement
6. Error report not getting uploaded fix
7. PickedupOn refresh button and remove its effect from heart icon
8. EffectiveReceivedOnEst calculation For Error Records
9. Retry unprocessed batches in PnS Service
10. Update MRDFReceived if all responses are received for particular batches
11. Schema Relax address validation</t>
  </si>
  <si>
    <t>we need to capture last login time in AuthoMail, please have it ready on Monday</t>
  </si>
  <si>
    <t>milan</t>
  </si>
  <si>
    <t xml:space="preserve">1. keep the layout the same for the dashboard black and Grey.
2. Change USAA background color to yellow rather than red.
3. Change background color for “backlog” from grey to red. 
</t>
  </si>
  <si>
    <t>Read mail for more details</t>
  </si>
  <si>
    <t xml:space="preserve">SLA report - change header same as changed in search page with question mark
- monthly recon report shows unique id as Zero while download report and batch name, loan number as blank
 - check records received date  </t>
  </si>
  <si>
    <t>if there are zero records after filter then it is better to show messege then user download it and check it is empty</t>
  </si>
  <si>
    <t>changed reports extensions - .mailed and .complete</t>
  </si>
  <si>
    <t xml:space="preserve">
1) If Batch is partiallyvalid 
2) If Error occured in PreppedStage 
3) If Error occured at Print Vendor side in Response
4) Pulledback with Error  
5) Only Pulledback 
6) If Full Batch is Invalid (E.g DocType not found, Invalid Address, no pdf available)</t>
  </si>
  <si>
    <t>extensions are changed as required</t>
  </si>
  <si>
    <t>Deadlock Test</t>
  </si>
  <si>
    <t>1) 1 Batch With 10 Records 
- 2 Records - Non-Configured Document Types
2) 1 Batch With 5 Records
- 2 Records - Wrong Address (Use some internation addresses)
3) 1 Batch With 10 Records
- 2 Records - Non-Configured Document Types
- 2 Records - Wrong Address (Use some internation addresses)
- 1 Pull Back Records (Before submitting to print vendor)
- 1 Pull Back Record (After submitting to print vendor)
4) Check Each Uploaded Reports Record 
5) diff batches tested</t>
  </si>
  <si>
    <t>Pass</t>
  </si>
  <si>
    <t>we are showing current days data</t>
  </si>
  <si>
    <t>Report Wizard - put download button on right</t>
  </si>
  <si>
    <t>add country in XML schema and test for all locations</t>
  </si>
  <si>
    <t>eVS label position changed except APO/FPO/DPO</t>
  </si>
  <si>
    <t>Bug Fixed for eVS label and FedEx label Postage Cost captured</t>
  </si>
  <si>
    <t>Increased Timout Time with 2 minutes</t>
  </si>
  <si>
    <t xml:space="preserve"> Retry Functionality for eVS labels if two types of error come from USPS 1.An error has occurred with the service. Please contact the system administrator, or try again. and 2. A connection attempt failed because the connected party did not properly respond after a period of time, or established connection failed because connected host has failed to respond</t>
  </si>
  <si>
    <t xml:space="preserve">
Code changed for adding file name in FedEx label</t>
  </si>
  <si>
    <t>evs Label Test</t>
  </si>
  <si>
    <t>postage charge</t>
  </si>
  <si>
    <t>check postage charge</t>
  </si>
  <si>
    <t>time out time increase to 2 min</t>
  </si>
  <si>
    <t>check query time out time - it is 2 min</t>
  </si>
  <si>
    <t>• labels are now portrait
• errors are handled</t>
  </si>
  <si>
    <t>onHold</t>
  </si>
  <si>
    <t xml:space="preserve">Package - 1 : 10 Mail Pieces : 2 DocType Mismatch, </t>
  </si>
  <si>
    <t>Package - 2 : 10 Mail Pieces : 2 DocType Mismatch, 2 Pdf Not Found, 2 attribute missing or value missing</t>
  </si>
  <si>
    <t>Package - 3 : 10 Mail Pieces : 2 Address Fail, 2 DocType Mismatch, 3 Duplicate Key</t>
  </si>
  <si>
    <t>Package - 4 : 10 Mail Pieces : 2 Address Fail, 3 label generate Fail</t>
  </si>
  <si>
    <t>Package - 5 : 10 Mail Pieces : 2 Address Fail, 3 label generate Fail,3 Pdf Not Found, 2 attribute missing or value missing</t>
  </si>
  <si>
    <t>Package - 6 : 10 Mail Pieces : 2 Pulled back (Before Submitting to PnS Service )</t>
  </si>
  <si>
    <t>Package - 7 : 10 Mail Pieces : 2 Pulled back (After Submitting to PnS Service )</t>
  </si>
  <si>
    <t>Package - 8 : 20 Mail Pieces : 2 Address Fail, 3 label generate Fail,3 Pdf Not Found, 2 attribute missing or value missing, 2 Pulled back (After Submitting to PnS Service )</t>
  </si>
  <si>
    <t>Package - 9 : 20 Mail Pieces : 2 Address Fail, 3 label generate Fail,3 Pdf Not Found, 2 attribute missing or value missing, 2 Pulled back (After Submitting to PnS Service ),2 Pulled back (After Submitting to PnS Service )</t>
  </si>
  <si>
    <t>Package - 10 : 10 Mail Pieces : 2 Pulled back (After Submitting to PnS Service ),2 Pulled back (After Submitting to PnS Service ), 2 Error From print vendor</t>
  </si>
  <si>
    <t>errored mailpieces mailing test</t>
  </si>
  <si>
    <r>
      <rPr>
        <b/>
        <sz val="11"/>
        <color theme="1"/>
        <rFont val="Calibri"/>
        <family val="2"/>
        <scheme val="minor"/>
      </rPr>
      <t xml:space="preserve">Nordis Transition: </t>
    </r>
    <r>
      <rPr>
        <sz val="11"/>
        <color theme="1"/>
        <rFont val="Calibri"/>
        <family val="2"/>
        <scheme val="minor"/>
      </rPr>
      <t xml:space="preserve">
1. Can AuthoMail divert selected volume at random to Nordis?
2. Make sure we have test sufficient volume of every trail. Also think if we can limit ourselves to trail or we have to test every doctype of every client.
3. Can we setup a new client DCTestRobin and create batch of every doctype and every client? How can we do that?
• Setup needs for Nordis
Printtrail, DocType, Arrange fields, like print confg, cutoff confg
Coverletter, front rear cover letter, 
mapping in printtrail (One-M)(must complete 24h) (no time overlap)</t>
    </r>
  </si>
  <si>
    <t xml:space="preserve">Envelope Usage Code added for showing Notification in AM Web Site: </t>
  </si>
  <si>
    <t>PDF size storage in AM.MailPieces, PnS.MRDFRequest and PnS.PrintTrailBatches</t>
  </si>
  <si>
    <t>USPS eVS Label change only for USPS Priority envelopes</t>
  </si>
  <si>
    <t>Code added for Error Notification to Clients</t>
  </si>
  <si>
    <t>Date</t>
  </si>
  <si>
    <t>Last login time</t>
  </si>
  <si>
    <t>• login 2 time to check last lagin time is saved or not
• use diff browser to login
• check for more then one user</t>
  </si>
  <si>
    <t>downloded all reports 
using 2 diff. time format india and US</t>
  </si>
  <si>
    <t xml:space="preserve">Search page
</t>
  </si>
  <si>
    <t>there should be close button in search pop up</t>
  </si>
  <si>
    <t xml:space="preserve">Search, monthly, reportwizard  Excel download(datetime of all properties)
</t>
  </si>
  <si>
    <t>• validations
• confirmation
• approv or rejection
• login using new register account</t>
  </si>
  <si>
    <t>Registration</t>
  </si>
  <si>
    <t>other mail of corelogic are going from local</t>
  </si>
  <si>
    <t>Client &amp; DocumentType Configuration from UI only</t>
  </si>
  <si>
    <t>• pdf cover later is not uploaded -  gives an error
• duplicate entry error not handled 
• duplicate trails are also entered
• add new trail not working - we can't change trail from dropdown</t>
  </si>
  <si>
    <r>
      <rPr>
        <b/>
        <sz val="11"/>
        <color theme="1"/>
        <rFont val="Calibri"/>
        <family val="2"/>
        <scheme val="minor"/>
      </rPr>
      <t>Enhancement</t>
    </r>
    <r>
      <rPr>
        <sz val="11"/>
        <color theme="1"/>
        <rFont val="Calibri"/>
        <family val="2"/>
        <scheme val="minor"/>
      </rPr>
      <t xml:space="preserve"> - Details (Email - Authomail Heart)
• We should just show PrintTrailBatches here and show pending mailpieces ONLY. This will help the team to follow up with print vendor.
• Once we get an alert in health monitor, can we increase the frequency of refresh? From 12 mins to 2 mins? And once it gets back to normal check every 12 mins?</t>
    </r>
  </si>
  <si>
    <t>Envelope Usage Code added for showing Notification in AM Web Site</t>
  </si>
  <si>
    <t>Encrypt details from below tables:
-AM.ShippingAccounts
-Common.SFTChannels
USPS url encryption
ManageSFTChannels : Pwd column remove from UI
Backup report stop uploading</t>
  </si>
  <si>
    <t>if doc type is fedex and there is any rule based on page count like (pages are more then 60 then work and less then 60 then not work ) then it will not work
- but same thing will work for usps</t>
  </si>
  <si>
    <t>Feature issue</t>
  </si>
  <si>
    <t>Roles</t>
  </si>
  <si>
    <t>Permissions</t>
  </si>
  <si>
    <t>Sr. No</t>
  </si>
  <si>
    <t>API</t>
  </si>
  <si>
    <t>PnsOperator</t>
  </si>
  <si>
    <t>Client</t>
  </si>
  <si>
    <t>Admin</t>
  </si>
  <si>
    <t>ClientUserManager</t>
  </si>
  <si>
    <t>BA</t>
  </si>
  <si>
    <t>CoreLogicUserManager</t>
  </si>
  <si>
    <t>API-USPS-Verify</t>
  </si>
  <si>
    <t>API-USPS-eVS</t>
  </si>
  <si>
    <t>can view all clients data</t>
  </si>
  <si>
    <t>can manage all users</t>
  </si>
  <si>
    <t>can access everything</t>
  </si>
  <si>
    <t>can access only his details</t>
  </si>
  <si>
    <t>can manage only his users, this is  for precise client Ex. BOTW</t>
  </si>
  <si>
    <t>not assigned to any one</t>
  </si>
  <si>
    <t>can access all API created by us in AM</t>
  </si>
  <si>
    <t>can access USPS API only (service only)</t>
  </si>
  <si>
    <t>can access eVs API only (service only)</t>
  </si>
  <si>
    <r>
      <rPr>
        <b/>
        <sz val="11"/>
        <color theme="1"/>
        <rFont val="Calibri"/>
        <family val="2"/>
        <scheme val="minor"/>
      </rPr>
      <t>Future Testing</t>
    </r>
    <r>
      <rPr>
        <sz val="11"/>
        <color theme="1"/>
        <rFont val="Calibri"/>
        <family val="2"/>
        <scheme val="minor"/>
      </rPr>
      <t xml:space="preserve">
• On 8+ page First Class packages, Nordis will proceed with the approach that ADE will generate the label for the Priority envelope and include these packages in the Priority file. Brijesh and Geordina will likely confirm this approach with the necessary client(s). Note that these 8+ page occurrences are considered rare.</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</si>
</sst>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409]d/mmm/yy;@"/>
  </numFmts>
  <fonts count="6" x14ac:knownFonts="1">
    <font>
      <sz val="11"/>
      <color theme="1"/>
      <name val="Calibri"/>
      <family val="2"/>
      <scheme val="minor"/>
    </font>
    <font>
      <b/>
      <sz val="12"/>
      <color theme="1"/>
      <name val="Calibri"/>
      <family val="2"/>
      <scheme val="minor"/>
    </font>
    <font>
      <b/>
      <sz val="14"/>
      <color theme="1"/>
      <name val="Calibri"/>
      <family val="2"/>
      <scheme val="minor"/>
    </font>
    <font>
      <b/>
      <sz val="16"/>
      <color theme="1"/>
      <name val="Calibri"/>
      <family val="2"/>
      <scheme val="minor"/>
    </font>
    <font>
      <b/>
      <sz val="11"/>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6">
    <xf numFmtId="0" fontId="0" fillId="0" borderId="0" xfId="0"/>
    <xf numFmtId="0" fontId="0" fillId="0" borderId="0" xfId="0" applyAlignment="1">
      <alignment horizontal="center"/>
    </xf>
    <xf numFmtId="0" fontId="1" fillId="0" borderId="0" xfId="0" applyFont="1" applyAlignment="1">
      <alignment horizontal="center" vertical="center"/>
    </xf>
    <xf numFmtId="0" fontId="1" fillId="0" borderId="0" xfId="0" applyFont="1" applyAlignment="1">
      <alignment horizontal="center" vertical="center" wrapText="1"/>
    </xf>
    <xf numFmtId="0" fontId="3"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center" vertical="top" wrapText="1"/>
    </xf>
    <xf numFmtId="0" fontId="2" fillId="0" borderId="0" xfId="0" applyFont="1" applyAlignment="1">
      <alignment horizontal="center" vertical="top"/>
    </xf>
    <xf numFmtId="0" fontId="2" fillId="0" borderId="0" xfId="0" applyFont="1" applyAlignment="1">
      <alignment horizontal="center"/>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vertical="top" wrapText="1"/>
    </xf>
    <xf numFmtId="0" fontId="0" fillId="0" borderId="0" xfId="0" applyAlignment="1">
      <alignment vertical="top"/>
    </xf>
    <xf numFmtId="0" fontId="0" fillId="0" borderId="0" xfId="0" applyAlignment="1">
      <alignment horizontal="center" vertical="top" wrapText="1"/>
    </xf>
    <xf numFmtId="0" fontId="0" fillId="0" borderId="0" xfId="0" applyAlignment="1">
      <alignment horizontal="center" wrapText="1"/>
    </xf>
    <xf numFmtId="0" fontId="0" fillId="0" borderId="0" xfId="0" applyAlignment="1">
      <alignment wrapText="1"/>
    </xf>
    <xf numFmtId="164" fontId="1" fillId="0" borderId="0" xfId="0" applyNumberFormat="1" applyFont="1" applyAlignment="1">
      <alignment horizontal="center" vertical="center"/>
    </xf>
    <xf numFmtId="164" fontId="0" fillId="0" borderId="0" xfId="0" applyNumberFormat="1"/>
    <xf numFmtId="0" fontId="0" fillId="0" borderId="0" xfId="0" applyFont="1" applyAlignment="1">
      <alignment vertical="center" wrapText="1"/>
    </xf>
    <xf numFmtId="0" fontId="0" fillId="0" borderId="0" xfId="0" applyFont="1" applyAlignment="1">
      <alignment wrapText="1"/>
    </xf>
    <xf numFmtId="164" fontId="1" fillId="0" borderId="0" xfId="0" applyNumberFormat="1" applyFont="1" applyAlignment="1">
      <alignment horizontal="center" vertical="center" wrapText="1"/>
    </xf>
    <xf numFmtId="15" fontId="0" fillId="0" borderId="0" xfId="0" applyNumberFormat="1"/>
    <xf numFmtId="0" fontId="5" fillId="0" borderId="0" xfId="0" applyFont="1"/>
    <xf numFmtId="14" fontId="0" fillId="0" borderId="0" xfId="0" applyNumberFormat="1" applyAlignment="1">
      <alignment horizontal="center" vertical="center"/>
    </xf>
    <xf numFmtId="0" fontId="2" fillId="0" borderId="0" xfId="0" applyFont="1"/>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0"/>
  <sheetViews>
    <sheetView tabSelected="1" workbookViewId="0">
      <pane ySplit="1" topLeftCell="A31" activePane="bottomLeft" state="frozen"/>
      <selection pane="bottomLeft" activeCell="B33" sqref="B33"/>
    </sheetView>
  </sheetViews>
  <sheetFormatPr defaultRowHeight="15" x14ac:dyDescent="0.25"/>
  <cols>
    <col min="1" max="1" width="9.140625" style="9"/>
    <col min="2" max="2" width="65.7109375" style="15" customWidth="1"/>
    <col min="3" max="3" width="10.140625" customWidth="1"/>
    <col min="4" max="4" width="15.7109375" customWidth="1"/>
    <col min="5" max="5" width="9.42578125" bestFit="1" customWidth="1"/>
    <col min="6" max="6" width="12.42578125" style="17" bestFit="1" customWidth="1"/>
    <col min="7" max="7" width="12.42578125" style="17" customWidth="1"/>
    <col min="8" max="8" width="11.85546875" customWidth="1"/>
    <col min="9" max="9" width="36.5703125" customWidth="1"/>
    <col min="10" max="10" width="21.7109375" customWidth="1"/>
  </cols>
  <sheetData>
    <row r="1" spans="1:10" s="1" customFormat="1" ht="78.75" x14ac:dyDescent="0.25">
      <c r="A1" s="4" t="s">
        <v>0</v>
      </c>
      <c r="B1" s="5" t="s">
        <v>1</v>
      </c>
      <c r="C1" s="3" t="s">
        <v>2</v>
      </c>
      <c r="D1" s="3" t="s">
        <v>8</v>
      </c>
      <c r="E1" s="2" t="s">
        <v>3</v>
      </c>
      <c r="F1" s="16" t="s">
        <v>4</v>
      </c>
      <c r="G1" s="20" t="s">
        <v>18</v>
      </c>
      <c r="H1" s="2" t="s">
        <v>5</v>
      </c>
      <c r="I1" s="2" t="s">
        <v>6</v>
      </c>
      <c r="J1" s="3" t="s">
        <v>7</v>
      </c>
    </row>
    <row r="2" spans="1:10" ht="75" x14ac:dyDescent="0.25">
      <c r="A2" s="9">
        <v>1</v>
      </c>
      <c r="B2" s="15" t="s">
        <v>19</v>
      </c>
      <c r="C2" t="s">
        <v>16</v>
      </c>
      <c r="D2" t="s">
        <v>17</v>
      </c>
      <c r="F2" s="17">
        <v>43556</v>
      </c>
    </row>
    <row r="3" spans="1:10" ht="30" x14ac:dyDescent="0.25">
      <c r="A3" s="9">
        <f>IF(LEN(B3)&gt;0,A2+1,"")</f>
        <v>2</v>
      </c>
      <c r="B3" s="15" t="s">
        <v>20</v>
      </c>
      <c r="C3" t="s">
        <v>16</v>
      </c>
      <c r="D3" t="s">
        <v>17</v>
      </c>
      <c r="F3" s="17">
        <v>43569</v>
      </c>
    </row>
    <row r="4" spans="1:10" x14ac:dyDescent="0.25">
      <c r="A4" s="9">
        <f t="shared" ref="A4:A50" si="0">IF(LEN(B4)&gt;0,A3+1,"")</f>
        <v>3</v>
      </c>
      <c r="B4" s="15" t="s">
        <v>21</v>
      </c>
      <c r="C4" t="s">
        <v>16</v>
      </c>
      <c r="D4" t="s">
        <v>17</v>
      </c>
      <c r="F4" s="17">
        <v>43569</v>
      </c>
    </row>
    <row r="5" spans="1:10" ht="30" x14ac:dyDescent="0.25">
      <c r="A5" s="9">
        <f t="shared" si="0"/>
        <v>4</v>
      </c>
      <c r="B5" s="15" t="s">
        <v>22</v>
      </c>
      <c r="C5" t="s">
        <v>23</v>
      </c>
      <c r="D5" t="s">
        <v>17</v>
      </c>
      <c r="E5" t="s">
        <v>24</v>
      </c>
      <c r="F5" s="17">
        <v>43569</v>
      </c>
    </row>
    <row r="6" spans="1:10" ht="180" x14ac:dyDescent="0.25">
      <c r="A6" s="9">
        <f t="shared" si="0"/>
        <v>5</v>
      </c>
      <c r="B6" s="15" t="s">
        <v>82</v>
      </c>
      <c r="C6" t="s">
        <v>23</v>
      </c>
      <c r="D6" t="s">
        <v>17</v>
      </c>
      <c r="F6" s="17">
        <v>43573</v>
      </c>
    </row>
    <row r="7" spans="1:10" x14ac:dyDescent="0.25">
      <c r="A7" s="9">
        <f t="shared" si="0"/>
        <v>6</v>
      </c>
      <c r="B7" s="15" t="s">
        <v>29</v>
      </c>
      <c r="C7" t="s">
        <v>23</v>
      </c>
      <c r="D7" t="s">
        <v>17</v>
      </c>
      <c r="E7" t="s">
        <v>24</v>
      </c>
      <c r="F7" s="17">
        <v>43581</v>
      </c>
    </row>
    <row r="8" spans="1:10" ht="45" x14ac:dyDescent="0.25">
      <c r="A8" s="9">
        <f t="shared" si="0"/>
        <v>7</v>
      </c>
      <c r="B8" s="15" t="s">
        <v>30</v>
      </c>
      <c r="C8" t="s">
        <v>16</v>
      </c>
      <c r="D8" t="s">
        <v>35</v>
      </c>
      <c r="E8" t="s">
        <v>36</v>
      </c>
    </row>
    <row r="9" spans="1:10" ht="150" x14ac:dyDescent="0.25">
      <c r="A9" s="9">
        <f t="shared" si="0"/>
        <v>8</v>
      </c>
      <c r="B9" s="15" t="s">
        <v>31</v>
      </c>
      <c r="C9" t="s">
        <v>37</v>
      </c>
      <c r="D9" t="s">
        <v>35</v>
      </c>
    </row>
    <row r="10" spans="1:10" ht="30" x14ac:dyDescent="0.25">
      <c r="A10" s="9">
        <f t="shared" si="0"/>
        <v>9</v>
      </c>
      <c r="B10" s="18" t="s">
        <v>32</v>
      </c>
      <c r="C10" t="s">
        <v>16</v>
      </c>
      <c r="D10" t="s">
        <v>35</v>
      </c>
    </row>
    <row r="11" spans="1:10" ht="360" x14ac:dyDescent="0.25">
      <c r="A11" s="9">
        <f t="shared" si="0"/>
        <v>10</v>
      </c>
      <c r="B11" s="19" t="s">
        <v>33</v>
      </c>
      <c r="C11" t="s">
        <v>38</v>
      </c>
      <c r="D11" t="s">
        <v>35</v>
      </c>
    </row>
    <row r="12" spans="1:10" ht="150" x14ac:dyDescent="0.25">
      <c r="A12" s="9">
        <f t="shared" si="0"/>
        <v>11</v>
      </c>
      <c r="B12" s="19" t="s">
        <v>34</v>
      </c>
      <c r="C12" t="s">
        <v>16</v>
      </c>
      <c r="D12" t="s">
        <v>41</v>
      </c>
    </row>
    <row r="13" spans="1:10" ht="195" x14ac:dyDescent="0.25">
      <c r="A13" s="9">
        <f t="shared" si="0"/>
        <v>12</v>
      </c>
      <c r="B13" s="19" t="s">
        <v>43</v>
      </c>
      <c r="C13" t="s">
        <v>37</v>
      </c>
      <c r="D13" t="s">
        <v>41</v>
      </c>
    </row>
    <row r="14" spans="1:10" ht="30" x14ac:dyDescent="0.25">
      <c r="A14" s="9">
        <f t="shared" si="0"/>
        <v>13</v>
      </c>
      <c r="B14" s="15" t="s">
        <v>42</v>
      </c>
      <c r="C14" t="s">
        <v>38</v>
      </c>
      <c r="D14" t="s">
        <v>41</v>
      </c>
    </row>
    <row r="15" spans="1:10" ht="30" x14ac:dyDescent="0.25">
      <c r="A15" s="9">
        <f t="shared" si="0"/>
        <v>14</v>
      </c>
      <c r="B15" s="15" t="s">
        <v>44</v>
      </c>
      <c r="C15" t="s">
        <v>23</v>
      </c>
      <c r="D15" t="s">
        <v>41</v>
      </c>
      <c r="E15" t="s">
        <v>45</v>
      </c>
    </row>
    <row r="16" spans="1:10" ht="60" x14ac:dyDescent="0.25">
      <c r="A16" s="9">
        <f t="shared" si="0"/>
        <v>15</v>
      </c>
      <c r="B16" s="15" t="s">
        <v>46</v>
      </c>
      <c r="C16" t="s">
        <v>23</v>
      </c>
      <c r="D16" t="s">
        <v>41</v>
      </c>
      <c r="E16" t="s">
        <v>45</v>
      </c>
      <c r="I16" t="s">
        <v>47</v>
      </c>
    </row>
    <row r="17" spans="1:9" ht="75" x14ac:dyDescent="0.25">
      <c r="A17" s="9">
        <f t="shared" si="0"/>
        <v>16</v>
      </c>
      <c r="B17" s="15" t="s">
        <v>48</v>
      </c>
      <c r="C17" t="s">
        <v>16</v>
      </c>
      <c r="D17" t="s">
        <v>35</v>
      </c>
      <c r="E17" t="s">
        <v>45</v>
      </c>
    </row>
    <row r="18" spans="1:9" x14ac:dyDescent="0.25">
      <c r="A18" s="9">
        <f t="shared" si="0"/>
        <v>17</v>
      </c>
      <c r="B18" s="15" t="s">
        <v>57</v>
      </c>
      <c r="C18" t="s">
        <v>23</v>
      </c>
      <c r="D18" t="s">
        <v>35</v>
      </c>
      <c r="E18" t="s">
        <v>24</v>
      </c>
    </row>
    <row r="19" spans="1:9" ht="30" x14ac:dyDescent="0.25">
      <c r="A19" s="9">
        <f t="shared" si="0"/>
        <v>18</v>
      </c>
      <c r="B19" s="15" t="s">
        <v>49</v>
      </c>
      <c r="C19" t="s">
        <v>38</v>
      </c>
      <c r="D19" t="s">
        <v>35</v>
      </c>
      <c r="E19" t="s">
        <v>24</v>
      </c>
      <c r="I19" t="s">
        <v>56</v>
      </c>
    </row>
    <row r="20" spans="1:9" x14ac:dyDescent="0.25">
      <c r="A20" s="9">
        <f t="shared" si="0"/>
        <v>19</v>
      </c>
      <c r="B20" s="15" t="s">
        <v>58</v>
      </c>
      <c r="C20" t="s">
        <v>37</v>
      </c>
      <c r="D20" t="s">
        <v>70</v>
      </c>
      <c r="E20" t="s">
        <v>36</v>
      </c>
    </row>
    <row r="21" spans="1:9" x14ac:dyDescent="0.25">
      <c r="A21" s="9">
        <f t="shared" si="0"/>
        <v>20</v>
      </c>
      <c r="B21" s="15" t="s">
        <v>59</v>
      </c>
      <c r="C21" t="s">
        <v>37</v>
      </c>
      <c r="D21" t="s">
        <v>17</v>
      </c>
      <c r="E21" t="s">
        <v>36</v>
      </c>
    </row>
    <row r="22" spans="1:9" x14ac:dyDescent="0.25">
      <c r="A22" s="9">
        <f t="shared" si="0"/>
        <v>21</v>
      </c>
      <c r="B22" s="15" t="s">
        <v>60</v>
      </c>
      <c r="C22" t="s">
        <v>37</v>
      </c>
      <c r="D22" t="s">
        <v>17</v>
      </c>
      <c r="E22" t="s">
        <v>36</v>
      </c>
    </row>
    <row r="23" spans="1:9" x14ac:dyDescent="0.25">
      <c r="A23" s="9">
        <f t="shared" si="0"/>
        <v>22</v>
      </c>
      <c r="B23" s="15" t="s">
        <v>61</v>
      </c>
      <c r="C23" t="s">
        <v>37</v>
      </c>
      <c r="D23" t="s">
        <v>17</v>
      </c>
      <c r="E23" t="s">
        <v>36</v>
      </c>
    </row>
    <row r="24" spans="1:9" ht="90" x14ac:dyDescent="0.25">
      <c r="A24" s="9">
        <f t="shared" si="0"/>
        <v>23</v>
      </c>
      <c r="B24" s="15" t="s">
        <v>62</v>
      </c>
      <c r="C24" t="s">
        <v>37</v>
      </c>
      <c r="D24" t="s">
        <v>17</v>
      </c>
      <c r="E24" s="22" t="s">
        <v>36</v>
      </c>
    </row>
    <row r="25" spans="1:9" ht="19.5" customHeight="1" x14ac:dyDescent="0.25">
      <c r="A25" s="9">
        <f t="shared" si="0"/>
        <v>24</v>
      </c>
      <c r="B25" s="15" t="s">
        <v>63</v>
      </c>
      <c r="C25" t="s">
        <v>37</v>
      </c>
      <c r="D25" t="s">
        <v>17</v>
      </c>
      <c r="E25" t="s">
        <v>36</v>
      </c>
    </row>
    <row r="26" spans="1:9" x14ac:dyDescent="0.25">
      <c r="A26" s="9">
        <f t="shared" si="0"/>
        <v>25</v>
      </c>
      <c r="B26" s="15" t="s">
        <v>83</v>
      </c>
    </row>
    <row r="27" spans="1:9" ht="30" x14ac:dyDescent="0.25">
      <c r="A27" s="9">
        <f t="shared" si="0"/>
        <v>26</v>
      </c>
      <c r="B27" s="15" t="s">
        <v>84</v>
      </c>
    </row>
    <row r="28" spans="1:9" x14ac:dyDescent="0.25">
      <c r="A28" s="9">
        <f t="shared" si="0"/>
        <v>27</v>
      </c>
      <c r="B28" s="15" t="s">
        <v>85</v>
      </c>
    </row>
    <row r="29" spans="1:9" x14ac:dyDescent="0.25">
      <c r="A29" s="9">
        <f t="shared" si="0"/>
        <v>28</v>
      </c>
      <c r="B29" s="15" t="s">
        <v>86</v>
      </c>
    </row>
    <row r="30" spans="1:9" ht="105" x14ac:dyDescent="0.25">
      <c r="A30" s="9">
        <v>29</v>
      </c>
      <c r="B30" s="15" t="s">
        <v>99</v>
      </c>
      <c r="C30" t="s">
        <v>37</v>
      </c>
      <c r="D30" t="s">
        <v>17</v>
      </c>
    </row>
    <row r="31" spans="1:9" ht="120" x14ac:dyDescent="0.25">
      <c r="A31" s="9">
        <f t="shared" si="0"/>
        <v>30</v>
      </c>
      <c r="B31" s="15" t="s">
        <v>101</v>
      </c>
    </row>
    <row r="32" spans="1:9" ht="60" x14ac:dyDescent="0.25">
      <c r="A32" s="9">
        <f t="shared" si="0"/>
        <v>31</v>
      </c>
      <c r="B32" s="15" t="s">
        <v>102</v>
      </c>
      <c r="C32" t="s">
        <v>38</v>
      </c>
      <c r="D32" t="s">
        <v>17</v>
      </c>
      <c r="E32" t="s">
        <v>24</v>
      </c>
      <c r="F32" s="17">
        <v>43669</v>
      </c>
    </row>
    <row r="33" spans="1:5" ht="90" x14ac:dyDescent="0.25">
      <c r="A33" s="9">
        <f t="shared" si="0"/>
        <v>32</v>
      </c>
      <c r="B33" s="15" t="s">
        <v>125</v>
      </c>
      <c r="C33" t="s">
        <v>23</v>
      </c>
      <c r="E33" t="s">
        <v>24</v>
      </c>
    </row>
    <row r="34" spans="1:5" x14ac:dyDescent="0.25">
      <c r="A34" s="9" t="str">
        <f t="shared" si="0"/>
        <v/>
      </c>
    </row>
    <row r="35" spans="1:5" x14ac:dyDescent="0.25">
      <c r="A35" s="9" t="str">
        <f t="shared" si="0"/>
        <v/>
      </c>
    </row>
    <row r="36" spans="1:5" x14ac:dyDescent="0.25">
      <c r="A36" s="9" t="str">
        <f t="shared" si="0"/>
        <v/>
      </c>
    </row>
    <row r="37" spans="1:5" x14ac:dyDescent="0.25">
      <c r="A37" s="9" t="str">
        <f t="shared" si="0"/>
        <v/>
      </c>
    </row>
    <row r="38" spans="1:5" x14ac:dyDescent="0.25">
      <c r="A38" s="9" t="str">
        <f t="shared" si="0"/>
        <v/>
      </c>
    </row>
    <row r="39" spans="1:5" x14ac:dyDescent="0.25">
      <c r="A39" s="9" t="str">
        <f t="shared" si="0"/>
        <v/>
      </c>
    </row>
    <row r="40" spans="1:5" x14ac:dyDescent="0.25">
      <c r="A40" s="9" t="str">
        <f t="shared" si="0"/>
        <v/>
      </c>
    </row>
    <row r="41" spans="1:5" x14ac:dyDescent="0.25">
      <c r="A41" s="9" t="str">
        <f t="shared" si="0"/>
        <v/>
      </c>
    </row>
    <row r="42" spans="1:5" x14ac:dyDescent="0.25">
      <c r="A42" s="9" t="str">
        <f t="shared" si="0"/>
        <v/>
      </c>
    </row>
    <row r="43" spans="1:5" x14ac:dyDescent="0.25">
      <c r="A43" s="9" t="str">
        <f t="shared" si="0"/>
        <v/>
      </c>
    </row>
    <row r="44" spans="1:5" x14ac:dyDescent="0.25">
      <c r="A44" s="9" t="str">
        <f t="shared" si="0"/>
        <v/>
      </c>
    </row>
    <row r="45" spans="1:5" x14ac:dyDescent="0.25">
      <c r="A45" s="9" t="str">
        <f t="shared" si="0"/>
        <v/>
      </c>
    </row>
    <row r="46" spans="1:5" x14ac:dyDescent="0.25">
      <c r="A46" s="9" t="str">
        <f t="shared" si="0"/>
        <v/>
      </c>
    </row>
    <row r="47" spans="1:5" x14ac:dyDescent="0.25">
      <c r="A47" s="9" t="str">
        <f t="shared" si="0"/>
        <v/>
      </c>
    </row>
    <row r="48" spans="1:5" x14ac:dyDescent="0.25">
      <c r="A48" s="9" t="str">
        <f t="shared" si="0"/>
        <v/>
      </c>
    </row>
    <row r="49" spans="1:1" x14ac:dyDescent="0.25">
      <c r="A49" s="9" t="str">
        <f t="shared" si="0"/>
        <v/>
      </c>
    </row>
    <row r="50" spans="1:1" x14ac:dyDescent="0.25">
      <c r="A50" s="9" t="str">
        <f t="shared" si="0"/>
        <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0"/>
  <sheetViews>
    <sheetView workbookViewId="0">
      <pane ySplit="1" topLeftCell="A21" activePane="bottomLeft" state="frozen"/>
      <selection pane="bottomLeft" activeCell="B28" sqref="B28"/>
    </sheetView>
  </sheetViews>
  <sheetFormatPr defaultRowHeight="15" x14ac:dyDescent="0.25"/>
  <cols>
    <col min="1" max="2" width="9.85546875" style="9" customWidth="1"/>
    <col min="3" max="3" width="36.28515625" style="10" customWidth="1"/>
    <col min="4" max="4" width="52.140625" style="11" customWidth="1"/>
    <col min="5" max="5" width="41" style="11" customWidth="1"/>
    <col min="6" max="6" width="34.42578125" style="11" customWidth="1"/>
    <col min="7" max="7" width="9.140625" style="12"/>
    <col min="8" max="8" width="12.28515625" style="12" customWidth="1"/>
    <col min="9" max="9" width="10.140625" bestFit="1" customWidth="1"/>
  </cols>
  <sheetData>
    <row r="1" spans="1:9" s="8" customFormat="1" ht="56.25" x14ac:dyDescent="0.3">
      <c r="A1" s="5" t="s">
        <v>9</v>
      </c>
      <c r="B1" s="5" t="s">
        <v>87</v>
      </c>
      <c r="C1" s="5" t="s">
        <v>10</v>
      </c>
      <c r="D1" s="6" t="s">
        <v>11</v>
      </c>
      <c r="E1" s="6" t="s">
        <v>12</v>
      </c>
      <c r="F1" s="6" t="s">
        <v>13</v>
      </c>
      <c r="G1" s="7" t="s">
        <v>15</v>
      </c>
      <c r="H1" s="6" t="s">
        <v>14</v>
      </c>
    </row>
    <row r="2" spans="1:9" ht="75" x14ac:dyDescent="0.25">
      <c r="A2" s="9">
        <v>1</v>
      </c>
      <c r="C2" s="10" t="s">
        <v>25</v>
      </c>
      <c r="D2" s="11" t="s">
        <v>27</v>
      </c>
      <c r="H2" s="12" t="s">
        <v>26</v>
      </c>
    </row>
    <row r="3" spans="1:9" ht="30" x14ac:dyDescent="0.25">
      <c r="A3" s="9">
        <f>IF(LEN(D3)&gt;0,A2+1,"")</f>
        <v>2</v>
      </c>
      <c r="C3" s="10" t="s">
        <v>91</v>
      </c>
      <c r="D3" s="11" t="s">
        <v>92</v>
      </c>
    </row>
    <row r="4" spans="1:9" ht="45" x14ac:dyDescent="0.25">
      <c r="A4" s="9">
        <f t="shared" ref="A4:A22" si="0">IF(LEN(D4)&gt;0,A3+1,"")</f>
        <v>3</v>
      </c>
      <c r="C4" s="10" t="s">
        <v>91</v>
      </c>
      <c r="D4" s="11" t="s">
        <v>28</v>
      </c>
    </row>
    <row r="5" spans="1:9" ht="180" x14ac:dyDescent="0.25">
      <c r="A5" s="9">
        <f t="shared" si="0"/>
        <v>4</v>
      </c>
      <c r="C5" s="10" t="s">
        <v>40</v>
      </c>
      <c r="D5" s="11" t="s">
        <v>39</v>
      </c>
    </row>
    <row r="6" spans="1:9" ht="120" x14ac:dyDescent="0.25">
      <c r="A6" s="9">
        <f t="shared" si="0"/>
        <v>5</v>
      </c>
      <c r="C6" s="10" t="s">
        <v>50</v>
      </c>
      <c r="D6" s="10" t="s">
        <v>51</v>
      </c>
      <c r="E6" s="11" t="s">
        <v>52</v>
      </c>
      <c r="H6" s="12" t="s">
        <v>26</v>
      </c>
      <c r="I6" s="21">
        <v>43593</v>
      </c>
    </row>
    <row r="7" spans="1:9" ht="195" x14ac:dyDescent="0.25">
      <c r="A7" s="9">
        <f t="shared" si="0"/>
        <v>6</v>
      </c>
      <c r="C7" s="10" t="s">
        <v>53</v>
      </c>
      <c r="D7" s="11" t="s">
        <v>54</v>
      </c>
      <c r="H7" s="12" t="s">
        <v>55</v>
      </c>
    </row>
    <row r="8" spans="1:9" ht="30" x14ac:dyDescent="0.25">
      <c r="A8" s="9">
        <f t="shared" si="0"/>
        <v>7</v>
      </c>
      <c r="C8" s="10" t="s">
        <v>64</v>
      </c>
      <c r="D8" s="11" t="s">
        <v>69</v>
      </c>
    </row>
    <row r="9" spans="1:9" x14ac:dyDescent="0.25">
      <c r="A9" s="9">
        <f t="shared" si="0"/>
        <v>8</v>
      </c>
      <c r="C9" s="10" t="s">
        <v>65</v>
      </c>
      <c r="D9" s="11" t="s">
        <v>66</v>
      </c>
    </row>
    <row r="10" spans="1:9" x14ac:dyDescent="0.25">
      <c r="A10" s="9">
        <f t="shared" si="0"/>
        <v>9</v>
      </c>
      <c r="C10" s="10" t="s">
        <v>67</v>
      </c>
      <c r="D10" s="11" t="s">
        <v>68</v>
      </c>
    </row>
    <row r="11" spans="1:9" x14ac:dyDescent="0.25">
      <c r="A11" s="9">
        <f t="shared" si="0"/>
        <v>10</v>
      </c>
      <c r="C11" s="25" t="s">
        <v>81</v>
      </c>
      <c r="D11" s="11" t="s">
        <v>71</v>
      </c>
    </row>
    <row r="12" spans="1:9" ht="30" x14ac:dyDescent="0.25">
      <c r="A12" s="9">
        <f t="shared" si="0"/>
        <v>11</v>
      </c>
      <c r="C12" s="25"/>
      <c r="D12" s="11" t="s">
        <v>72</v>
      </c>
    </row>
    <row r="13" spans="1:9" ht="30" x14ac:dyDescent="0.25">
      <c r="A13" s="9">
        <f t="shared" si="0"/>
        <v>12</v>
      </c>
      <c r="C13" s="25"/>
      <c r="D13" s="11" t="s">
        <v>73</v>
      </c>
    </row>
    <row r="14" spans="1:9" ht="30" x14ac:dyDescent="0.25">
      <c r="A14" s="9">
        <f t="shared" si="0"/>
        <v>13</v>
      </c>
      <c r="C14" s="25"/>
      <c r="D14" s="11" t="s">
        <v>74</v>
      </c>
      <c r="F14" s="13"/>
      <c r="G14" s="13"/>
      <c r="H14" s="13"/>
      <c r="I14" s="13"/>
    </row>
    <row r="15" spans="1:9" ht="45" x14ac:dyDescent="0.25">
      <c r="A15" s="9">
        <f t="shared" si="0"/>
        <v>14</v>
      </c>
      <c r="C15" s="25"/>
      <c r="D15" s="11" t="s">
        <v>75</v>
      </c>
      <c r="F15" s="14"/>
      <c r="G15" s="14"/>
      <c r="H15" s="14"/>
      <c r="I15" s="14"/>
    </row>
    <row r="16" spans="1:9" ht="30" x14ac:dyDescent="0.25">
      <c r="A16" s="9">
        <f t="shared" si="0"/>
        <v>15</v>
      </c>
      <c r="C16" s="25"/>
      <c r="D16" s="11" t="s">
        <v>76</v>
      </c>
    </row>
    <row r="17" spans="1:6" ht="30" x14ac:dyDescent="0.25">
      <c r="A17" s="9">
        <f t="shared" si="0"/>
        <v>16</v>
      </c>
      <c r="C17" s="25"/>
      <c r="D17" s="11" t="s">
        <v>77</v>
      </c>
    </row>
    <row r="18" spans="1:6" ht="60" x14ac:dyDescent="0.25">
      <c r="A18" s="9">
        <f t="shared" si="0"/>
        <v>17</v>
      </c>
      <c r="C18" s="25"/>
      <c r="D18" s="11" t="s">
        <v>78</v>
      </c>
    </row>
    <row r="19" spans="1:6" ht="60" x14ac:dyDescent="0.25">
      <c r="A19" s="9">
        <f t="shared" si="0"/>
        <v>18</v>
      </c>
      <c r="C19" s="25"/>
      <c r="D19" s="11" t="s">
        <v>79</v>
      </c>
    </row>
    <row r="20" spans="1:6" ht="45" x14ac:dyDescent="0.25">
      <c r="A20" s="9">
        <f t="shared" si="0"/>
        <v>19</v>
      </c>
      <c r="C20" s="25"/>
      <c r="D20" s="11" t="s">
        <v>80</v>
      </c>
    </row>
    <row r="21" spans="1:6" ht="45" x14ac:dyDescent="0.25">
      <c r="A21" s="9">
        <f t="shared" si="0"/>
        <v>20</v>
      </c>
      <c r="B21" s="23">
        <v>43644</v>
      </c>
      <c r="C21" s="10" t="s">
        <v>88</v>
      </c>
      <c r="D21" s="11" t="s">
        <v>89</v>
      </c>
    </row>
    <row r="22" spans="1:6" ht="75" x14ac:dyDescent="0.25">
      <c r="A22" s="9">
        <f t="shared" si="0"/>
        <v>21</v>
      </c>
      <c r="B22" s="23">
        <v>43645</v>
      </c>
      <c r="C22" s="10" t="s">
        <v>93</v>
      </c>
      <c r="D22" s="11" t="s">
        <v>90</v>
      </c>
    </row>
    <row r="23" spans="1:6" ht="60" x14ac:dyDescent="0.25">
      <c r="A23" s="9">
        <f t="shared" ref="A23:A50" si="1">IF(LEN(C23)&gt;0,A22+1,"")</f>
        <v>22</v>
      </c>
      <c r="B23" s="23">
        <v>43647</v>
      </c>
      <c r="C23" s="10" t="s">
        <v>95</v>
      </c>
      <c r="D23" s="11" t="s">
        <v>94</v>
      </c>
      <c r="F23" s="13" t="s">
        <v>96</v>
      </c>
    </row>
    <row r="24" spans="1:6" ht="90" x14ac:dyDescent="0.25">
      <c r="A24" s="9">
        <f t="shared" si="1"/>
        <v>23</v>
      </c>
      <c r="B24" s="23">
        <v>43647</v>
      </c>
      <c r="C24" s="10" t="s">
        <v>97</v>
      </c>
      <c r="F24" s="11" t="s">
        <v>98</v>
      </c>
    </row>
    <row r="25" spans="1:6" ht="30" x14ac:dyDescent="0.25">
      <c r="A25" s="9" t="str">
        <f t="shared" si="1"/>
        <v/>
      </c>
      <c r="D25" s="11" t="s">
        <v>100</v>
      </c>
    </row>
    <row r="26" spans="1:6" ht="60" x14ac:dyDescent="0.25">
      <c r="A26" s="9" t="e">
        <f t="shared" si="1"/>
        <v>#VALUE!</v>
      </c>
      <c r="C26" s="10" t="s">
        <v>103</v>
      </c>
      <c r="D26" s="11" t="s">
        <v>102</v>
      </c>
    </row>
    <row r="27" spans="1:6" x14ac:dyDescent="0.25">
      <c r="A27" s="9" t="str">
        <f t="shared" si="1"/>
        <v/>
      </c>
    </row>
    <row r="28" spans="1:6" x14ac:dyDescent="0.25">
      <c r="A28" s="9" t="str">
        <f t="shared" si="1"/>
        <v/>
      </c>
    </row>
    <row r="29" spans="1:6" x14ac:dyDescent="0.25">
      <c r="A29" s="9" t="str">
        <f t="shared" si="1"/>
        <v/>
      </c>
    </row>
    <row r="30" spans="1:6" x14ac:dyDescent="0.25">
      <c r="A30" s="9" t="str">
        <f t="shared" si="1"/>
        <v/>
      </c>
    </row>
    <row r="31" spans="1:6" x14ac:dyDescent="0.25">
      <c r="A31" s="9" t="str">
        <f t="shared" si="1"/>
        <v/>
      </c>
    </row>
    <row r="32" spans="1:6" x14ac:dyDescent="0.25">
      <c r="A32" s="9" t="str">
        <f t="shared" si="1"/>
        <v/>
      </c>
    </row>
    <row r="33" spans="1:1" x14ac:dyDescent="0.25">
      <c r="A33" s="9" t="str">
        <f t="shared" si="1"/>
        <v/>
      </c>
    </row>
    <row r="34" spans="1:1" x14ac:dyDescent="0.25">
      <c r="A34" s="9" t="str">
        <f t="shared" si="1"/>
        <v/>
      </c>
    </row>
    <row r="35" spans="1:1" x14ac:dyDescent="0.25">
      <c r="A35" s="9" t="str">
        <f t="shared" si="1"/>
        <v/>
      </c>
    </row>
    <row r="36" spans="1:1" x14ac:dyDescent="0.25">
      <c r="A36" s="9" t="str">
        <f t="shared" si="1"/>
        <v/>
      </c>
    </row>
    <row r="37" spans="1:1" x14ac:dyDescent="0.25">
      <c r="A37" s="9" t="str">
        <f t="shared" si="1"/>
        <v/>
      </c>
    </row>
    <row r="38" spans="1:1" x14ac:dyDescent="0.25">
      <c r="A38" s="9" t="str">
        <f t="shared" si="1"/>
        <v/>
      </c>
    </row>
    <row r="39" spans="1:1" x14ac:dyDescent="0.25">
      <c r="A39" s="9" t="str">
        <f t="shared" si="1"/>
        <v/>
      </c>
    </row>
    <row r="40" spans="1:1" x14ac:dyDescent="0.25">
      <c r="A40" s="9" t="str">
        <f t="shared" si="1"/>
        <v/>
      </c>
    </row>
    <row r="41" spans="1:1" x14ac:dyDescent="0.25">
      <c r="A41" s="9" t="str">
        <f t="shared" si="1"/>
        <v/>
      </c>
    </row>
    <row r="42" spans="1:1" x14ac:dyDescent="0.25">
      <c r="A42" s="9" t="str">
        <f t="shared" si="1"/>
        <v/>
      </c>
    </row>
    <row r="43" spans="1:1" x14ac:dyDescent="0.25">
      <c r="A43" s="9" t="str">
        <f t="shared" si="1"/>
        <v/>
      </c>
    </row>
    <row r="44" spans="1:1" x14ac:dyDescent="0.25">
      <c r="A44" s="9" t="str">
        <f t="shared" si="1"/>
        <v/>
      </c>
    </row>
    <row r="45" spans="1:1" x14ac:dyDescent="0.25">
      <c r="A45" s="9" t="str">
        <f t="shared" si="1"/>
        <v/>
      </c>
    </row>
    <row r="46" spans="1:1" x14ac:dyDescent="0.25">
      <c r="A46" s="9" t="str">
        <f t="shared" si="1"/>
        <v/>
      </c>
    </row>
    <row r="47" spans="1:1" x14ac:dyDescent="0.25">
      <c r="A47" s="9" t="str">
        <f t="shared" si="1"/>
        <v/>
      </c>
    </row>
    <row r="48" spans="1:1" x14ac:dyDescent="0.25">
      <c r="A48" s="9" t="str">
        <f t="shared" si="1"/>
        <v/>
      </c>
    </row>
    <row r="49" spans="1:1" x14ac:dyDescent="0.25">
      <c r="A49" s="9" t="str">
        <f t="shared" si="1"/>
        <v/>
      </c>
    </row>
    <row r="50" spans="1:1" x14ac:dyDescent="0.25">
      <c r="A50" s="9" t="str">
        <f t="shared" si="1"/>
        <v/>
      </c>
    </row>
  </sheetData>
  <mergeCells count="1">
    <mergeCell ref="C11:C2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election activeCell="B28" sqref="B28"/>
    </sheetView>
  </sheetViews>
  <sheetFormatPr defaultRowHeight="15" x14ac:dyDescent="0.25"/>
  <cols>
    <col min="2" max="2" width="21.7109375" bestFit="1" customWidth="1"/>
    <col min="3" max="3" width="40.140625" customWidth="1"/>
  </cols>
  <sheetData>
    <row r="1" spans="1:3" ht="18.75" x14ac:dyDescent="0.3">
      <c r="A1" s="24" t="s">
        <v>106</v>
      </c>
      <c r="B1" s="24" t="s">
        <v>104</v>
      </c>
      <c r="C1" s="24" t="s">
        <v>105</v>
      </c>
    </row>
    <row r="2" spans="1:3" x14ac:dyDescent="0.25">
      <c r="A2">
        <v>1</v>
      </c>
      <c r="B2" t="s">
        <v>107</v>
      </c>
      <c r="C2" s="15" t="s">
        <v>122</v>
      </c>
    </row>
    <row r="3" spans="1:3" x14ac:dyDescent="0.25">
      <c r="A3">
        <v>2</v>
      </c>
      <c r="B3" t="s">
        <v>108</v>
      </c>
      <c r="C3" s="15" t="s">
        <v>121</v>
      </c>
    </row>
    <row r="4" spans="1:3" x14ac:dyDescent="0.25">
      <c r="A4">
        <v>3</v>
      </c>
      <c r="B4" t="s">
        <v>109</v>
      </c>
      <c r="C4" s="15" t="s">
        <v>119</v>
      </c>
    </row>
    <row r="5" spans="1:3" x14ac:dyDescent="0.25">
      <c r="A5">
        <v>4</v>
      </c>
      <c r="B5" t="s">
        <v>110</v>
      </c>
      <c r="C5" s="15" t="s">
        <v>118</v>
      </c>
    </row>
    <row r="6" spans="1:3" ht="30" x14ac:dyDescent="0.25">
      <c r="A6">
        <v>5</v>
      </c>
      <c r="B6" t="s">
        <v>111</v>
      </c>
      <c r="C6" s="15" t="s">
        <v>120</v>
      </c>
    </row>
    <row r="7" spans="1:3" x14ac:dyDescent="0.25">
      <c r="A7">
        <v>6</v>
      </c>
      <c r="B7" t="s">
        <v>112</v>
      </c>
      <c r="C7" s="15" t="s">
        <v>116</v>
      </c>
    </row>
    <row r="8" spans="1:3" x14ac:dyDescent="0.25">
      <c r="A8">
        <v>7</v>
      </c>
      <c r="B8" t="s">
        <v>113</v>
      </c>
      <c r="C8" s="15" t="s">
        <v>117</v>
      </c>
    </row>
    <row r="9" spans="1:3" x14ac:dyDescent="0.25">
      <c r="A9">
        <v>8</v>
      </c>
      <c r="B9" t="s">
        <v>114</v>
      </c>
      <c r="C9" s="15" t="s">
        <v>123</v>
      </c>
    </row>
    <row r="10" spans="1:3" x14ac:dyDescent="0.25">
      <c r="A10">
        <v>9</v>
      </c>
      <c r="B10" t="s">
        <v>115</v>
      </c>
      <c r="C10" s="15" t="s">
        <v>124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Items List</vt:lpstr>
      <vt:lpstr>Test Cases and Results</vt: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milestone technocrat</dc:creator>
  <cp:lastModifiedBy>milestone technocrat</cp:lastModifiedBy>
  <dcterms:created xsi:type="dcterms:W3CDTF">2019-03-22T08:57:44Z</dcterms:created>
  <dcterms:modified xsi:type="dcterms:W3CDTF">2019-10-16T11:50:56Z</dcterms:modified>
</cp:coreProperties>
</file>