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showInkAnnotation="0"/>
  <bookViews>
    <workbookView xWindow="0" yWindow="0" windowWidth="15360" windowHeight="8145" tabRatio="914" activeTab="3"/>
  </bookViews>
  <sheets>
    <sheet name="Tasks Details" sheetId="1" r:id="rId1"/>
    <sheet name="EST time formula" sheetId="2" r:id="rId2"/>
    <sheet name="update scripts" sheetId="3" r:id="rId3"/>
    <sheet name="SQL Queries" sheetId="5" r:id="rId4"/>
    <sheet name="AuthoMail-UAT Versions Updates" sheetId="11" r:id="rId5"/>
    <sheet name="Doc Type Table" sheetId="13" r:id="rId6"/>
    <sheet name="Dallas Test Case" sheetId="15" r:id="rId7"/>
    <sheet name="Sheet1" sheetId="16" r:id="rId8"/>
  </sheets>
  <definedNames>
    <definedName name="_xlnm._FilterDatabase" localSheetId="0" hidden="1">'Tasks Details'!$A$2:$H$250</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10" i="1" l="1"/>
  <c r="D204" i="1"/>
  <c r="A250" i="1" l="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D239" i="1" l="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09" i="1"/>
  <c r="D208" i="1"/>
  <c r="D207" i="1"/>
  <c r="D206" i="1"/>
  <c r="D205" i="1"/>
  <c r="D202" i="1"/>
  <c r="D201" i="1"/>
  <c r="D199" i="1"/>
  <c r="D197" i="1"/>
  <c r="D246" i="1" l="1"/>
  <c r="D245" i="1"/>
  <c r="D244" i="1"/>
  <c r="D243" i="1"/>
  <c r="D242" i="1"/>
  <c r="D241" i="1"/>
  <c r="D240" i="1"/>
  <c r="D196" i="1" l="1"/>
  <c r="C1" i="1" l="1"/>
  <c r="A4" i="1" l="1"/>
  <c r="A5" i="1" s="1"/>
  <c r="A6" i="1" s="1"/>
  <c r="A7" i="1" s="1"/>
  <c r="A8" i="1" s="1"/>
  <c r="A9" i="1" s="1"/>
  <c r="A10"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3" i="1" s="1"/>
  <c r="A44" i="1" s="1"/>
  <c r="A45" i="1" s="1"/>
  <c r="A46" i="1" s="1"/>
  <c r="A47" i="1" s="1"/>
  <c r="A49" i="1" s="1"/>
  <c r="A50" i="1" s="1"/>
  <c r="A51" i="1" s="1"/>
  <c r="A52" i="1" s="1"/>
  <c r="A53" i="1" s="1"/>
  <c r="A54" i="1" s="1"/>
  <c r="A55" i="1" s="1"/>
  <c r="A56"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alcChain>
</file>

<file path=xl/sharedStrings.xml><?xml version="1.0" encoding="utf-8"?>
<sst xmlns="http://schemas.openxmlformats.org/spreadsheetml/2006/main" count="1269" uniqueCount="444">
  <si>
    <t>Id</t>
  </si>
  <si>
    <t>Task Description</t>
  </si>
  <si>
    <t>Assigned To</t>
  </si>
  <si>
    <t>Due Date</t>
  </si>
  <si>
    <t>Actual Date</t>
  </si>
  <si>
    <t>Status</t>
  </si>
  <si>
    <t>1. Are we checking SLA missed?</t>
  </si>
  <si>
    <t>2. How is Nirav able to logon using mtc@corelogic.com? @Milan, aren't you using LDAP authentication?</t>
  </si>
  <si>
    <t>3. Channel filter is NOT working.</t>
  </si>
  <si>
    <t>4. Error report - is it showing correct values?</t>
  </si>
  <si>
    <t>5. CHECK GRAMMAR BEFORE SHOWING MESSAGES, PLEASE GROW UP</t>
  </si>
  <si>
    <t>6. Daily Operations report - should we show only success or errors too?</t>
  </si>
  <si>
    <t>7. PCI returns time EST, are we checking?</t>
  </si>
  <si>
    <t>are we showing error loans in monthly recon report ?</t>
  </si>
  <si>
    <t>after uploading files console not stops atutomatically</t>
  </si>
  <si>
    <t>duedate = (receivedon &gt; (date(receivedon) + cut off) ? date(receivedon) (23:59:59) EST + sladays + 1 : date(receivedon) (23:59:59) EST + sladays</t>
  </si>
  <si>
    <t>duedate = convert to UTC and store in db</t>
  </si>
  <si>
    <t>duedate = (receivedon.ToEst &gt; (date(receivedon.toest) + cut off) ? date(receivedon.toest) (23:59:59) EST + sladays + 1 : date(receivedon) (23:59:59) EST + sladays</t>
  </si>
  <si>
    <t>receivedon = 2018-03-20 03:30:00 UTC.toEst = 2018-03-19 23:30:00 EST</t>
  </si>
  <si>
    <t>23:30:00 EST &gt; 19:45:00 EST ? yes</t>
  </si>
  <si>
    <t>date(receivedon.toest) (23:59:59) EST + sladays + 1</t>
  </si>
  <si>
    <t>2018-03-19 23:59:59 EST + 0 + 1 = 2018-03-20 23:59:59 EST</t>
  </si>
  <si>
    <t>in Search page  remove loannumber and add businessfriendlyidname</t>
  </si>
  <si>
    <t>show Duedate in SLA error and show in Excel also</t>
  </si>
  <si>
    <t>satish rabari</t>
  </si>
  <si>
    <t>summary control report date PM come in new line in columns</t>
  </si>
  <si>
    <t>summary control report : error text not showing</t>
  </si>
  <si>
    <t>SLA report - duedate filter not working</t>
  </si>
  <si>
    <t>search page report - change print date to shipped date</t>
  </si>
  <si>
    <t>date swaped - search report received on and printed on</t>
  </si>
  <si>
    <t>akshar</t>
  </si>
  <si>
    <t>Remember Me, not working</t>
  </si>
  <si>
    <t>milan patel</t>
  </si>
  <si>
    <t>Clicking on AuthoMail should take us to home page</t>
  </si>
  <si>
    <t>Error status comes, but error text doesn't show up, On chart</t>
  </si>
  <si>
    <t>Show date in brackets on weekly chart</t>
  </si>
  <si>
    <t>Change Pull Back to Request Pullback, the button doesn't change color properly</t>
  </si>
  <si>
    <t>Collapse after go is clicked</t>
  </si>
  <si>
    <t>Show error details on hover of error label</t>
  </si>
  <si>
    <t>Enter should work when there is one textbox only (pullback, login)</t>
  </si>
  <si>
    <t>Put Authorize att on pullback api</t>
  </si>
  <si>
    <t>sagar</t>
  </si>
  <si>
    <t>SLA missed filter (only inprogress) not working</t>
  </si>
  <si>
    <t>Invalid states (50 state) has bug , doesn't accept DC, is the list updated?</t>
  </si>
  <si>
    <t>figure out pullback access related issue.</t>
  </si>
  <si>
    <t>Add 'DocType' in search details popup. Heading "Document Type" everywhere.</t>
  </si>
  <si>
    <t>When will data come to Daily Data Operations report?</t>
  </si>
  <si>
    <t>Test multiple pull back.</t>
  </si>
  <si>
    <t>nirav barot</t>
  </si>
  <si>
    <t>Graph details, popup, show 'package name' in the details view, remove from batch view, why was it show in batch and not in detail??</t>
  </si>
  <si>
    <t>Check integer format on "Weekly Batch Details"</t>
  </si>
  <si>
    <t>If we were sent 5+4 ZIP, make sure it is displayed on all reports and search screen, i.e. wherever ZIP code is displayed, it should show AS-IS</t>
  </si>
  <si>
    <t>Confirm that pull backs are shown on the summary control report</t>
  </si>
  <si>
    <t>all reports should be general, (Ex. Remove custmer identifier and request id which are come from AMC)</t>
  </si>
  <si>
    <t>completed</t>
  </si>
  <si>
    <t>weekly chart in progress details, change inprogess label button color from red to blue in pop up</t>
  </si>
  <si>
    <t>create SP</t>
  </si>
  <si>
    <t>search page - list should be ordered by status as given in dropdown</t>
  </si>
  <si>
    <t>search page - create clear all filter</t>
  </si>
  <si>
    <t xml:space="preserve">remove extra comma in address and recipent name column </t>
  </si>
  <si>
    <t>Mapping table for client with multiple domain</t>
  </si>
  <si>
    <t>+5'</t>
  </si>
  <si>
    <t>+5.30'</t>
  </si>
  <si>
    <t>show failed loans in weekly chart</t>
  </si>
  <si>
    <t>pull back page - we show filter of "document type" but not in below listed table column</t>
  </si>
  <si>
    <t>pull back page - "received date" and "pullback requested" should be second or third in table after loan search, because when we go for pull back then we know loan number but we need "received date" because we search in multiple days then in which date this loan belong to is useful.</t>
  </si>
  <si>
    <t>need to change "pulled back" status color, it is same as error color</t>
  </si>
  <si>
    <t>Desc.</t>
  </si>
  <si>
    <t>it will show when data in database</t>
  </si>
  <si>
    <t>depends on column</t>
  </si>
  <si>
    <t>error SLA - column batch ids in filter contains wrong ids</t>
  </si>
  <si>
    <t xml:space="preserve">Summary control report, error report - change name id to perticular mail-piece id name </t>
  </si>
  <si>
    <t>common.clients - ClientName wrong designed</t>
  </si>
  <si>
    <t>why are we showing # in list details in pages, if not necessary then remove ? Discuss with ravibhai</t>
  </si>
  <si>
    <t>LOANNBR is it okay ?</t>
  </si>
  <si>
    <t>pullback icon alignment</t>
  </si>
  <si>
    <t xml:space="preserve">get logo and replace it </t>
  </si>
  <si>
    <t>remove remember me from login screen</t>
  </si>
  <si>
    <t>Pullback should be consistent, use title case except column header</t>
  </si>
  <si>
    <t>Date format not changed - in search page and pull back page (To -&gt; to)</t>
  </si>
  <si>
    <t>request pull back button name should be - camel case, align text center</t>
  </si>
  <si>
    <t>All (&lt;Received Time&gt; - &lt;Batch Name&gt;) ,  Label Name - "Filter by Batch"(bold as above labels)</t>
  </si>
  <si>
    <t>batch table fixed order of pipline status columns, acknowledge after validate</t>
  </si>
  <si>
    <t>put download icon at excel download</t>
  </si>
  <si>
    <t>pull back page - date filter not working on same date</t>
  </si>
  <si>
    <t>Enhancement</t>
  </si>
  <si>
    <t>batch status should be "Inprocess" after received</t>
  </si>
  <si>
    <t>put local word below reports date column name</t>
  </si>
  <si>
    <t>excel report button not on proper location</t>
  </si>
  <si>
    <t>show process in while pulling back and while getting tracking details</t>
  </si>
  <si>
    <t>not getting tracking details</t>
  </si>
  <si>
    <t>coloumn add - tota mail piece</t>
  </si>
  <si>
    <t>change button view to "View Details"</t>
  </si>
  <si>
    <t>increase height of pop up</t>
  </si>
  <si>
    <t>chart pop up - mail piece pop up heading - Mailpiece Summary      Batch Id - ####   Received On - ### (same as batch summary)</t>
  </si>
  <si>
    <t>pages shipped to Pages in above pop up</t>
  </si>
  <si>
    <t>cross check sum of mail piece in mail piece chart</t>
  </si>
  <si>
    <t>summary control - remove show error if there is no error</t>
  </si>
  <si>
    <t>recon - first date is wrong</t>
  </si>
  <si>
    <t>pull back reprt - status and Requested - swap</t>
  </si>
  <si>
    <t>pull report - replace loan no with mail piece id</t>
  </si>
  <si>
    <t>10.212.40.106</t>
  </si>
  <si>
    <t>AuthomailUser</t>
  </si>
  <si>
    <t>Authomail@User</t>
  </si>
  <si>
    <t>display batch error details in chart pop up</t>
  </si>
  <si>
    <t xml:space="preserve"> Task Assigned</t>
  </si>
  <si>
    <t>date should not come in UTC format from database</t>
  </si>
  <si>
    <t>add due date in summary report should not be UTC</t>
  </si>
  <si>
    <t>chart pop up title - add space after hiphen</t>
  </si>
  <si>
    <r>
      <t>add due date in above pop up</t>
    </r>
    <r>
      <rPr>
        <b/>
        <sz val="11"/>
        <color theme="1"/>
        <rFont val="Calibri"/>
        <family val="2"/>
        <scheme val="minor"/>
      </rPr>
      <t xml:space="preserve"> (mm/dd)(time without seconds)</t>
    </r>
  </si>
  <si>
    <t>create small tracking number in above pop up</t>
  </si>
  <si>
    <t>summary control report batch filter not working</t>
  </si>
  <si>
    <t>month recon report - we didn't  provide channel name</t>
  </si>
  <si>
    <t>space diff. in date written in title of summary control report (check in all reports)</t>
  </si>
  <si>
    <t>search - only approval search is working</t>
  </si>
  <si>
    <t xml:space="preserve">daily operations report - remove batch id last column, change name batch id </t>
  </si>
  <si>
    <t>10.215.176.81</t>
  </si>
  <si>
    <t>Autho Mail-UAT</t>
  </si>
  <si>
    <t>AuthMail</t>
  </si>
  <si>
    <t>error sla on change doc. Type gives error</t>
  </si>
  <si>
    <t>month recon report - trackng number and method misplaced</t>
  </si>
  <si>
    <t>is it possible that in error mail piece doesn't contain shipping method details ?</t>
  </si>
  <si>
    <t>doc. Type problem in request pull back page</t>
  </si>
  <si>
    <t>chart - pop up wrong batch id</t>
  </si>
  <si>
    <t xml:space="preserve">weekly Chart pop up heading - Batch Summary Received On - 3/28/18 </t>
  </si>
  <si>
    <t>is scan date should be local in tracking details ?</t>
  </si>
  <si>
    <t>tracking details button - checked with adding entry in database</t>
  </si>
  <si>
    <t>Pullback whole batch (by client batch id as well search by date then pullback)</t>
  </si>
  <si>
    <t>Batch report and batch search : by batch name, date etc. (when it was received, status, error desc, shipped time etc)</t>
  </si>
  <si>
    <t>Priority</t>
  </si>
  <si>
    <t>L</t>
  </si>
  <si>
    <t>H</t>
  </si>
  <si>
    <t>UPDATE QUIRIED</t>
  </si>
  <si>
    <t>update [AuthoMail].[Common].[SFTChannels]
  set host = '\\MTC-NIRAVB\c$\MSTC\AM\USAA'
  where code = 'AMC_Internal'</t>
  </si>
  <si>
    <t xml:space="preserve">  update [AuthoMail].[Common].[SystemSettings]
  set value = 'Internal'
  where id = 'Environment'</t>
  </si>
  <si>
    <t>update [Common].[SystemSettings] 
set Value='E:\TFS\AuthoMail\source\AuthoMail\AM.Web\Template\PullBackForm.pdf'
Where Id='API_PB_PullBackFormTemplatePath'</t>
  </si>
  <si>
    <t>update [Common].[SystemSettings] 
set Value='nirav.barot@milestonetechnoconsulting.com' 
Where Id='API_Email_Cc'</t>
  </si>
  <si>
    <t>update [Common].[SystemSettings] 
set Value='nirav.barot@milestonetechnoconsulting.com' 
Where Id='API_Email_To'</t>
  </si>
  <si>
    <t>update [Common].[SystemSettings] 
set Value='\\MTC-NIRAVB\c$\MSTC\AM\AMC' 
Where Id='AMCDirPath'</t>
  </si>
  <si>
    <t>update [Common].[SystemSettings] 
set Value='E:\TFS\AuthoMail\source\AuthoMail\AM.Console\bin\Debug\AuthoMailRoot'
Where Id='AuthoMailRootFolder'</t>
  </si>
  <si>
    <t xml:space="preserve">update [Common].[SystemSettings] 
set Value='E:\TFS\AuthoMail\source\AuthoMail\AM.Core\CoverTemplates'
Where Id='CoverTemplateFolder'
</t>
  </si>
  <si>
    <t>update [Common].[SystemSettings] 
set Value='E:\TFS\AuthoMail\source\AuthoMail\AM.Console\HTMLTemplates\DET.html'
Where Id='DSEmailTemplate'</t>
  </si>
  <si>
    <t>update [Common].[SystemSettings] 
set Value='E:\TFS\AuthoMail\source\AuthoMail\AM.Console\HTMLTemplates\PLET.html'
Where Id='PSEmailTemplate'</t>
  </si>
  <si>
    <t>fedex tracking numbe shuold be open in new window</t>
  </si>
  <si>
    <t>delete UAT back up and delete it inform to AZIM</t>
  </si>
  <si>
    <t>add 'U' or 'F' for USPS and FEDEX with Tracking number</t>
  </si>
  <si>
    <t>change communication error message</t>
  </si>
  <si>
    <t>Wednesday task - check tracking USPS on live site, get fedex prod. account</t>
  </si>
  <si>
    <t xml:space="preserve">Quick pull bach - "No such records found in todays baches or pending batches" </t>
  </si>
  <si>
    <t xml:space="preserve">select [BatchStatus] ,[PipelineStatus],* from [AM].[MailBatches]
where Id in (1151)
--where BatchName = '636573520218250599'
 --order by ID desc
</t>
  </si>
  <si>
    <t>select  [ShippingStatus],[ErrorCode],[ErrorDesc],* from [AM].[MailPieces]
where businessfriendlyidvalue = '3000080816' and MailBatchId = 1151
--where MailBatchId = 1013
 order by ID desc</t>
  </si>
  <si>
    <t xml:space="preserve">SELECT * FROM [AuthoMail_UAT].[Common].[SystemSettings]
--where id = 'PnS_SFT_HostURL'
</t>
  </si>
  <si>
    <t xml:space="preserve">select  [ShippingStatus],[ErrorCode],[ErrorDesc],* from [AM].[MailPieces]
where businessfriendlyidvalue = '3000080816' and MailBatchId = 1151
--where MailBatchId = 1013
 order by ID desc
</t>
  </si>
  <si>
    <t xml:space="preserve">/****** Script for SelectTopNRows command from SSMS  ******/
SELECT * FROM [AuthoMail_UAT].[Common].[SystemSettings]
--where id = 'PnS_SFT_HostURL'
</t>
  </si>
  <si>
    <t xml:space="preserve">ADD TRACKING DETAILS
SET IDENTITY_INSERT [dbo].[tblUSPSTrackingInfo] ON
 INSERT [dbo].[tblUSPSTrackingInfo] ([ID], [UploadLogID], [FacilityID], [OperationCode], [ScanDate], [RoutingCode], [TrackingCode]) VALUES (1, 1, N'92199', N'142', CAST(N'2016-06-01 22:38:17.000' AS DateTime), N'59715', N'00310901599685000393')
GO
</t>
  </si>
  <si>
    <r>
      <rPr>
        <b/>
        <sz val="11"/>
        <color theme="1"/>
        <rFont val="Calibri"/>
        <family val="2"/>
        <scheme val="minor"/>
      </rPr>
      <t>find due date</t>
    </r>
    <r>
      <rPr>
        <sz val="11"/>
        <color theme="1"/>
        <rFont val="Calibri"/>
        <family val="2"/>
        <scheme val="minor"/>
      </rPr>
      <t xml:space="preserve">
select * from [AM].[MailPieces] where mailbatchid in (
select id from [AM].[MailBatches] 
 --where batchname = '636573520218250599'
where receivedon &gt; '2018-03-27 19:09:56.000')
--and shippingstatus = 'error' 
and MailBatchId =1013</t>
    </r>
  </si>
  <si>
    <t>SET IDENTITY_INSERT [dbo].[tblUSPSTrackingInfo] OFF
UPLOAD LOG ENTRY -   1 wfsb68a1708.pkg 2016-06-09 14:19:45.713</t>
  </si>
  <si>
    <t xml:space="preserve">get authomail prod. Backup from azim and restore on UAT OR sync UAT database with Prod. </t>
  </si>
  <si>
    <t>select [BatchStatus] ,[PipelineStatus],receivedon,* from [AM].[MailBatches]
--where Id in (1151)
where BatchName = '636573538244524375'
 --order by ID desc
select  [ShippingStatus],PrintedOn, ShippedOn,[ErrorCode],[ErrorDesc],DueDate,documentorpackagetype,
 * 
from [AM].[MailPieces]
--where businessfriendlyidvalue = '3000080816' and MailBatchId = 1151
where MailBatchId = 1016 --and uniqueid =  '0d5a7147-6749-4f08-afcf-011c01c5a4a5'
--where documentorpackagetype = 'approval'
 --order by ID desc</t>
  </si>
  <si>
    <t>Remove state list validation from packageinfo schema and move it to text file</t>
  </si>
  <si>
    <t>Validations:
1. XML Schema
2. Common Validations (AppCode, DocType, filename etc)
3. Client Specific validation</t>
  </si>
  <si>
    <t>Move ErrorReport and DeliveryReport methods to service layer</t>
  </si>
  <si>
    <t>1. insert client code in USPS database otherwise shipping won't work</t>
  </si>
  <si>
    <t>2. Fix code of USPS shipping label</t>
  </si>
  <si>
    <t>3. Get Core process reviewed</t>
  </si>
  <si>
    <t>IMP</t>
  </si>
  <si>
    <t>CreateFedexLabels.cs (remove hard coding of fedex URLs)</t>
  </si>
  <si>
    <t>Use Env.Prod (config. env) setting</t>
  </si>
  <si>
    <t>use relative paths</t>
  </si>
  <si>
    <t>use mailpiece id as customertransactionid</t>
  </si>
  <si>
    <t>use config.env in email subjects</t>
  </si>
  <si>
    <t>add AMC customer identifier mapping in database</t>
  </si>
  <si>
    <t>deploy UAT on all web servers AND move 64 UAT to 57, as per Azeem's instructions</t>
  </si>
  <si>
    <t>no error - check hover message</t>
  </si>
  <si>
    <t>Pulled back' - pull back requested page - discuss with ravibhai</t>
  </si>
  <si>
    <t>2. All dialog boxes on chart, closes when 'Esc' is pressed. Only the current one should close.</t>
  </si>
  <si>
    <t>3. 'No error description' is still being displayed</t>
  </si>
  <si>
    <t>6. I hope we are showing tracking details in descending order of 'Scan Date'</t>
  </si>
  <si>
    <t>7. Check Excel export of all reports, make sure it is coming properly, it should get distorted because of comma (,) used in print location etc.</t>
  </si>
  <si>
    <t>use original CLUI css files, move all changes to a new class file if required.</t>
  </si>
  <si>
    <t>1. Why is batch status showing Error null? (discuss with ravibhai)</t>
  </si>
  <si>
    <t>use csvstring to numbers which start with zero, for example tracking number</t>
  </si>
  <si>
    <t>use new naming convention for PnS batch, appcode_printbatchid</t>
  </si>
  <si>
    <t xml:space="preserve"> keep tracking info button long enough so that when 'in progress' animation is shown, content doesn't move on screen</t>
  </si>
  <si>
    <t>error report - download excel - status column contain html</t>
  </si>
  <si>
    <t>setup UAT on all web servers and move UAT app to 57</t>
  </si>
  <si>
    <t>inprogress</t>
  </si>
  <si>
    <t>AM batch status 'PulledBack' and PnS batch status 'PulledBack', DEFINE new statuses</t>
  </si>
  <si>
    <t>increase height of todays batch graph and move quick back below weekly chart</t>
  </si>
  <si>
    <t>create script for database cleaning in production</t>
  </si>
  <si>
    <t>send an email to azim for backup</t>
  </si>
  <si>
    <t>do not store stack strace in database, store in log file - contact to ravibhai</t>
  </si>
  <si>
    <t>create hover error - with read only property - it should be 2 line error joined by new line</t>
  </si>
  <si>
    <t>Check all reports : Change 'Error Code' column to 'Status' column, show error desc on hover when applicable (only when error), Pages Shipped should be 0 when status &lt;&gt; Shipped</t>
  </si>
  <si>
    <t xml:space="preserve">set chart pop up below border </t>
  </si>
  <si>
    <t>Let's remove admin@mtc.com COMPLETELY, add Akshar's login to admin role.</t>
  </si>
  <si>
    <t>You can create admin@milestonetechnoconsulting.com if you want.</t>
  </si>
  <si>
    <t>USPS pro. Data query</t>
  </si>
  <si>
    <t>Make absolutely sure that NO controller except Account is without 'Authorize' attribute., we don't want any security vulnerabilities.</t>
  </si>
  <si>
    <r>
      <t xml:space="preserve">discuss with brijesh - should we show pullback in this reports - 1.
1. Dailt op. 2. error 3. error sla. 4. summay 5. monthly recon 6. pulled back request - </t>
    </r>
    <r>
      <rPr>
        <b/>
        <sz val="11"/>
        <color theme="1"/>
        <rFont val="Calibri"/>
        <family val="2"/>
        <scheme val="minor"/>
      </rPr>
      <t>show only summary control report</t>
    </r>
  </si>
  <si>
    <t>12. Perform mild load test on website, simultaneously click on login button, 10 people</t>
  </si>
  <si>
    <t>pages shipped - are we adding cover page or not ? - yes</t>
  </si>
  <si>
    <t>pull back page - column click ordering stoped</t>
  </si>
  <si>
    <t>check "business id" drop down after inserting  insurance number - text box not shown properly</t>
  </si>
  <si>
    <t>Does monthly recon, report show only shipped loans? Yes</t>
  </si>
  <si>
    <t>please check with Milan if he is ignoring 'Pullback' mail pieces in SLA missed , or in other words which mail piece status are SHOWN in SLA missed, pls confirm with me</t>
  </si>
  <si>
    <t>plan for PulledBack status of batch, esp in chart</t>
  </si>
  <si>
    <t>Check all pdf files created in prod run, make sure cover page template is proper, make sure address and borrower name is accurate. Make sure pdf content is accurate. Must do today</t>
  </si>
  <si>
    <t>compare report with old reports</t>
  </si>
  <si>
    <t>STOP reporting job ON production - remove triggers</t>
  </si>
  <si>
    <t>DO NOT clean PROD database</t>
  </si>
  <si>
    <t>mark all loans as reportedback in production, so that reports don't go again</t>
  </si>
  <si>
    <t>solve chart UI bug</t>
  </si>
  <si>
    <t>Use AMC error codes</t>
  </si>
  <si>
    <t>Summary report - Show error code and description in a single column.</t>
  </si>
  <si>
    <t>Please make sure you create smoke2.txt and write notes for our second release</t>
  </si>
  <si>
    <t>QC ALL reports, check every time when new verion release</t>
  </si>
  <si>
    <t>create list of UI changes</t>
  </si>
  <si>
    <t>Send sample summary report to Brijesh without fail</t>
  </si>
  <si>
    <t>all</t>
  </si>
  <si>
    <t>update [AuthoMail_UAT].[Common].[SystemSettings]
set Value = '\\Mstc-neelkanth\c$\MSTC\ADE_PnS'
where id = 'Core_PnS_SFT_HostURL'</t>
  </si>
  <si>
    <t>update [AuthoMail_UAT].[Common].[SystemSettings]
set Value = '\\Mstc-neelkanth\c$\MSTC\ADE_PnS'
where id = 'Core_PnS_SFT_RootDir'</t>
  </si>
  <si>
    <t>after testing, update core and console on UAT environment</t>
  </si>
  <si>
    <r>
      <t xml:space="preserve">Quick pull back - check for mailpiece status
</t>
    </r>
    <r>
      <rPr>
        <b/>
        <sz val="11"/>
        <color theme="1"/>
        <rFont val="Calibri"/>
        <family val="2"/>
        <scheme val="minor"/>
      </rPr>
      <t>Shipping Status</t>
    </r>
    <r>
      <rPr>
        <sz val="11"/>
        <color theme="1"/>
        <rFont val="Calibri"/>
        <family val="2"/>
        <scheme val="minor"/>
      </rPr>
      <t xml:space="preserve">        </t>
    </r>
    <r>
      <rPr>
        <b/>
        <sz val="11"/>
        <color theme="1"/>
        <rFont val="Calibri"/>
        <family val="2"/>
        <scheme val="minor"/>
      </rPr>
      <t xml:space="preserve">Pull back requested
</t>
    </r>
    <r>
      <rPr>
        <sz val="11"/>
        <color theme="1"/>
        <rFont val="Calibri"/>
        <family val="2"/>
        <scheme val="minor"/>
      </rPr>
      <t>Pullback                           no
Shipped                           no</t>
    </r>
  </si>
  <si>
    <t>V.IMP</t>
  </si>
  <si>
    <t xml:space="preserve">create change password page </t>
  </si>
  <si>
    <t>Pull back reporting decide whether to enable or not ? (pullback enable કરવું કે નઈ?)</t>
  </si>
  <si>
    <t>hover over msg. should be opened in proper manner. It opened now out of page</t>
  </si>
  <si>
    <t>pull back thay to report ma tracking number nai java devano</t>
  </si>
  <si>
    <t>change pns batch naming convention - clientcode_doctypecode_printbatchno - clientcode_doctypecode_printbatchno - Can't go with this naming convention because length of batchname in pnsrequest gets failed. So it is good to use AppCode_PrintBatchNo</t>
  </si>
  <si>
    <r>
      <rPr>
        <b/>
        <sz val="11"/>
        <color theme="1"/>
        <rFont val="Calibri"/>
        <family val="2"/>
        <scheme val="minor"/>
      </rPr>
      <t>Smoke -2</t>
    </r>
    <r>
      <rPr>
        <sz val="11"/>
        <color theme="1"/>
        <rFont val="Calibri"/>
        <family val="2"/>
        <scheme val="minor"/>
      </rPr>
      <t xml:space="preserve">, 
- Stagging, internal and prod. Ma doc. Type and descript. size 512 length karvi (Query - </t>
    </r>
    <r>
      <rPr>
        <b/>
        <sz val="11"/>
        <color theme="1"/>
        <rFont val="Calibri"/>
        <family val="2"/>
        <scheme val="minor"/>
      </rPr>
      <t>update AM.MailPieces
set doctypeid = null where doctypeid = 0</t>
    </r>
    <r>
      <rPr>
        <sz val="11"/>
        <color theme="1"/>
        <rFont val="Calibri"/>
        <family val="2"/>
        <scheme val="minor"/>
      </rPr>
      <t xml:space="preserve">) 
- Task schedular -  monitor and core - give </t>
    </r>
    <r>
      <rPr>
        <b/>
        <sz val="11"/>
        <color theme="1"/>
        <rFont val="Calibri"/>
        <family val="2"/>
        <scheme val="minor"/>
      </rPr>
      <t>"startin"</t>
    </r>
  </si>
  <si>
    <t>chart - 0 value based color shown in so remove it</t>
  </si>
  <si>
    <t>10.215.112.64</t>
  </si>
  <si>
    <t>UAT</t>
  </si>
  <si>
    <t>sandpatel</t>
  </si>
  <si>
    <t>પાસવર્ડ એટ ૩</t>
  </si>
  <si>
    <t xml:space="preserve">DEMO - for Alaska 
- COMMOM.Setting - search in - for msg.s if there Is client name USAA used any where
- mail batc.validation error table - search in 
- error desc. Search in 
- search in visual studio
- get batch .pdf from alaska production
</t>
  </si>
  <si>
    <r>
      <t>search "</t>
    </r>
    <r>
      <rPr>
        <b/>
        <sz val="11"/>
        <color theme="1"/>
        <rFont val="Calibri"/>
        <family val="2"/>
        <scheme val="minor"/>
      </rPr>
      <t>core logic</t>
    </r>
    <r>
      <rPr>
        <sz val="11"/>
        <color theme="1"/>
        <rFont val="Calibri"/>
        <family val="2"/>
        <scheme val="minor"/>
      </rPr>
      <t>" word in system</t>
    </r>
  </si>
  <si>
    <r>
      <rPr>
        <b/>
        <sz val="11"/>
        <color theme="1"/>
        <rFont val="Calibri"/>
        <family val="2"/>
        <scheme val="minor"/>
      </rPr>
      <t>Test Case Change PWD</t>
    </r>
    <r>
      <rPr>
        <sz val="11"/>
        <color theme="1"/>
        <rFont val="Calibri"/>
        <family val="2"/>
        <scheme val="minor"/>
      </rPr>
      <t xml:space="preserve">
login to authomailusing corelogic acc.
Change password
test fun. Test in runninng authomail tab
logout from authomail
attempt login with old passwrod one time
login with new password
check change password messages</t>
    </r>
  </si>
  <si>
    <t xml:space="preserve"> &lt;compilation 
         …
         debug="true"
    /&gt; 
and/or
 &lt;trace
        enabled="true"
        …
    /&gt;
check settings sent above  , In web.config</t>
  </si>
  <si>
    <t>determine how much memory console and core eat up</t>
  </si>
  <si>
    <t>publish web code in release mode, turn debugging off</t>
  </si>
  <si>
    <t>host a plain asp.net mvc site with web api on 57 and check its memory usage (Akshar and Milan)</t>
  </si>
  <si>
    <t>akshar , milan</t>
  </si>
  <si>
    <t>use HostingEnvironment.MapPath or Server.MapPath to get absolute path, store only relative path in the config setting (Akshar)</t>
  </si>
  <si>
    <t xml:space="preserve"> 404 woff2</t>
  </si>
  <si>
    <t>pns service, log batch name when queue is queried</t>
  </si>
  <si>
    <t>profiling - to check memory eaten by system ?</t>
  </si>
  <si>
    <t>Update error code map as per old AMC</t>
  </si>
  <si>
    <t>select * from (
select deptid, count(id) as empcount from emp group by deptid
having count(id) = (select max(empcount) as maxempcount from (select deptid, count(id) as empcount from emp group by deptid)t1)) t3, dept
where t3.deptId = dept.id</t>
  </si>
  <si>
    <t>remove new line chars from report</t>
  </si>
  <si>
    <t>site slow</t>
  </si>
  <si>
    <t>compare 300 records = 1.7 mb after changes it will be in kb.s</t>
  </si>
  <si>
    <t>add "client name" in UI , put mainly name from database not client code , change name of all client as in their website</t>
  </si>
  <si>
    <t>Create unique index on ALL GUID fields in ALL tables, prepare a list and show me. The script to create unique index must be stored in database scripts and must be run in QA, Staging and Production. If duplicates are found, contact me to resolve. Before you create indexes, check for duplicates in staging and prod databases. If found, report to me.</t>
  </si>
  <si>
    <t>Sagar : Do we have scripts to create composite unique indexes in doctype table (client id and doctypcode) AND (client id and doctype desc) in tfs?
Do we have script to make doctypeid primary key in tfs? We have run these scripts in production but they should all be in tfs</t>
  </si>
  <si>
    <t>Nirav - VERY IMPORTANT : Use database scripts we have in tfs (after the above tasks are complete), and create a database. Compare this database (column by column including column datatype and nullable, PK, FK, UK etc., stored procs etc.) with production database (106). Do this carefully, take Vijaybhai's help if necessary. But I want to make sure they have checked in everything, NOTHING is missed out.</t>
  </si>
  <si>
    <t>error report - error on hover get cut down (compare with search error records)</t>
  </si>
  <si>
    <t>search page - if insurance number added in to the search drop down then in search result it should show as loan number / insurance number</t>
  </si>
  <si>
    <t>ravi</t>
  </si>
  <si>
    <t>Monitor pending batches: 9 PM EST, send email to brijesh, devang, ravi, sagar, Akshar</t>
  </si>
  <si>
    <t>Monitor pending batches: 6 PM and 9 PM IST, send email to brijesh, devang, ravi, sagar, akshar  (automated notification)</t>
  </si>
  <si>
    <t>test for multiple client - create menu in home page for diff. clients</t>
  </si>
  <si>
    <t>Alaska User</t>
  </si>
  <si>
    <t>K.Hoggard@alaskausa.org</t>
  </si>
  <si>
    <t>Client@123</t>
  </si>
  <si>
    <t>Testing for multiple USERS</t>
  </si>
  <si>
    <t>last login client name not stored</t>
  </si>
  <si>
    <t>daily detail operation report - Alaska - channel filter empty</t>
  </si>
  <si>
    <t>pull back - spinner shows even if mail piece already pulled back</t>
  </si>
  <si>
    <t>Tasks for Akshar
1. Delfus letters email
2. change host URL in prod
Akshar
Pls make sure to change the host URL (sftp url) to below in CondoSafe Job – 
mft.corelogic.com</t>
  </si>
  <si>
    <t>Task Milan : 
Change message, in tfs, QA, Staging and Prod
instead of " You may use traditional ways to change your password like 'Ctrl + Alt + Del' on your computer" use such as instead of like</t>
  </si>
  <si>
    <t>"The User Name field is required.", "The Password field is required." remove field word if not needed</t>
  </si>
  <si>
    <t>label stays as long In login page - 'insert user name'</t>
  </si>
  <si>
    <t>on lock out account it refresh continuously</t>
  </si>
  <si>
    <t>MOST IMP FEATURE, add this in your task, assign to Sagar, Milan, Satish, Akshar:
Prepare a page to record all exceptions and show them on a support webpage in AuthoMail.</t>
  </si>
  <si>
    <t>BUG on login page: mailto:documentservices@corelogic.com?subject=AuthoMail.com Inquiry</t>
  </si>
  <si>
    <t xml:space="preserve">filter by batch - all (time - batch name) - we do not have batch name in table details </t>
  </si>
  <si>
    <t>login page - put forgot password below password box</t>
  </si>
  <si>
    <t>business unit details active value changed on closing pop up</t>
  </si>
  <si>
    <t>+4'</t>
  </si>
  <si>
    <t>Day light saving</t>
  </si>
  <si>
    <t>without day light saving</t>
  </si>
  <si>
    <t>generate new GUID</t>
  </si>
  <si>
    <t xml:space="preserve">DECLARE @myid uniqueidentifier  
SET @myid = NEWID()  
PRINT CONVERT(varchar(255), @myid)  </t>
  </si>
  <si>
    <t>Flow AuthoMail To PnS Service
AuthoMail Side
AM Batch Download - AMRequest
AM Batch Process - PnSRequest
PnS Service Batch To Process through PnSService - ADE_PnS/ClientCode/Batch
PnS Service Side
Download Batch for Processing path - ADE_PnS/ClientCode/Batch
PnS Batch Download - PnSRequest
PnS Batch Process to Submit to PCI -  PCIRequest
PCI MRDF Response to Process - PCIResponse
PnS response generate from PCI MRDF response file - PnSResponse
PnS response copy to Pns batch submitted folder with trigger file - ADE_PnS/ClientCode
AuthoMail Side
PnSService Response processed by AM - AMRoot/ClientCode/PnSResponses
AM Batch Response report to Client - AMResponse</t>
  </si>
  <si>
    <t>Complete flow of autho mail</t>
  </si>
  <si>
    <t>recycle authomail database</t>
  </si>
  <si>
    <t xml:space="preserve">DELETE FROM [PnS].LogBatchTimeLine
DELETE FROM [PnS].MRDFResponse
DELETE FROM [PnS].MRDFRequest
DELETE FROM [PnS].BatchSummary
DBCC CHECKIDENT('[PnS].BatchSummary', RESEED, 1000)
DELETE FROM [Common].[MailPiecePageInfo]
DELETE FROM [AM].[LogBatchTimeLine]
DELETE FROM [AM].[MailPieceCustomInfo]
DELETE FROM [AM].[MailPieces]
DELETE FROM [AM].[PrintBatches]
DBCC CHECKIDENT('[AM].[PrintBatches]', RESEED, 1000)
DBCC CHECKIDENT('[AM].[MailPieces]', RESEED, 1000)
DELETE FROM [AM].[MailBatchCustomInfo]
DELETE FROM [AM].[MailBatches]
DBCC CHECKIDENT('[AM].[MailBatches]', RESEED, 1000)
</t>
  </si>
  <si>
    <t>Flow of autho mail - folder details</t>
  </si>
  <si>
    <t>DECLARE @myid uniqueidentifier  
SET @myid = NEWID()  
PRINT CONVERT(varchar(255), @myid)</t>
  </si>
  <si>
    <t>CREATE GUID</t>
  </si>
  <si>
    <t xml:space="preserve">SELECT pipelinestatus, * FROM [AuthoMail_UAT].[AM].[MailBatches] where id in (4005) order by id desc
SELECT shippingstatus, * FROM [AM].[MailPieces] where mailbatchid in (4005) order by id desc
</t>
  </si>
  <si>
    <t>Passcode4</t>
  </si>
  <si>
    <t>select m.id,m.uniqueid,m.DocTypeId,m.Documentorpackagetype,mb.receivedon,m.duedate,m.ErrorCode,d.bizdaycutoff,d.bizdayslatype,d.bizdaytimespan,d.satcutoff,d.satslatype,d.sattimespan,d.suncutoff,d.sunslatype,d.suntimespan from [AM].[MailBatches] mb, [AM].[MailPieces] m left outer join [AM].[DocTypes] d ON m.DocTypeId=d.Id where mb.Id=m.[MailBatchId] 
and m.errorcode != 'No_Error' 
--and m.doctypeid is null
--and m.duedate is null
--or and m.errorcode != 'No_Error' and m.doctypeid is not null and m.duedate is not null 
-- m.doctypeid is not null and m.DueDate is not null
--and m.doctypeid is not null and m.DueDate is null
--and m.doctypeid is null and m.DueDate is null
order by id asc</t>
  </si>
  <si>
    <t>Due Date Query</t>
  </si>
  <si>
    <t>Sr. No</t>
  </si>
  <si>
    <t>Project Name</t>
  </si>
  <si>
    <t>Version number</t>
  </si>
  <si>
    <t>AuthoMail_UAT</t>
  </si>
  <si>
    <t>Developer</t>
  </si>
  <si>
    <t>Milan</t>
  </si>
  <si>
    <t>Sagar</t>
  </si>
  <si>
    <t>v.--</t>
  </si>
  <si>
    <t>* AM Console
       HSBC Code
* AM Core 
       Process AM, Due Date Logic, Due Date logic for PnSRequest
* PnS Service
       ByPass PCI</t>
  </si>
  <si>
    <t>Search Screen:
 -Search by Tracking number, Batch Id, Client Batch Id
 -View MailPiece details on Loannumber click
 -Show tracking details on new page (click on tracking number inside View Details of MailPiece modal)
Report 
 -SummaryControlReport:remove cutoff time
 -Monthly Recon Add pdf received file</t>
  </si>
  <si>
    <t>Satish</t>
  </si>
  <si>
    <t xml:space="preserve">
Search Screen:
 -Search by Tracking number
 -View MailPiece details on Loannumber click issue fixed</t>
  </si>
  <si>
    <t>Features for UAT</t>
  </si>
  <si>
    <t>same</t>
  </si>
  <si>
    <t>Features for production</t>
  </si>
  <si>
    <t>* Search Page 
   - (Query Design) 
    1 new filter added - tracking number</t>
  </si>
  <si>
    <t>* Search Page 
   - (Query Design) 3 new filter added 
   1.clientbatchid   
   2.mailbatchid 
   3.trackingno   
* Account module - 
  - new 2 role added 
  1.ClientUserManager 
  2.CorelogicUserManager
  - UI created to assign above role using Admin login   
  - details shown of registration request Approve, Reject or Pending 
  - sending email on new registration, waiting for approval and rejection
* Report Page 
  - MonthlyReconreport 
    mailpiece PDF file link shown to download pdf</t>
  </si>
  <si>
    <t>shipped partial validated</t>
  </si>
  <si>
    <t>3 record extra in db of doc type "AdverseAction"</t>
  </si>
  <si>
    <t>select m.id,m.shippingstatus,m.SLADays,m.duedate,m.DocTypeId,m.Documentorpackagetype,mb.receivedon,mb.validationstatus,m.duedate,m.ErrorCode,m.errordesc,d.bizdaycutoff,d.bizdayslatype,d.bizdaytimespan,d.satcutoff,d.satslatype,d.sattimespan,d.suncutoff,d.sunslatype,d.suntimespan from [AM].[MailBatches] mb, [AM].[MailPieces] m left outer join [AM].[DocTypes] d ON m.DocTypeId=d.Id where mb.Id=m.[MailBatchId]
and sladays &lt; -1
and mb.receivedon &gt; '2018-07-25 03:59:59.000' and  mb.receivedon &lt; '2018-07-26 03:59:59.000'
and mb.validationstatus = 'valid'</t>
  </si>
  <si>
    <t>SLA missed Records by day</t>
  </si>
  <si>
    <t>select m.id,m.shippingstatus,m.SLADays,mb.receivedon,m.duedate,m.DocTypeId,m.Documentorpackagetype,mb.validationstatus,m.duedate,m.ErrorCode,m.errordesc,d.bizdaycutoff,d.bizdayslatype,d.bizdaytimespan,d.satcutoff,d.satslatype,d.sattimespan,d.suncutoff,d.sunslatype,d.suntimespan from [AM].[MailBatches] mb, [AM].[MailPieces] m left outer join [AM].[DocTypes] d ON m.DocTypeId=d.Id where m.[MailBatchId] = mb.Id
and sladays &lt; 0
and mb.receivedon &gt; '2018-07-27 03:59:59' and  mb.receivedon &lt; '2018-07-28 03:59:59' 
and m.clientid = 101
AND m.ShippingStatus IN ('InProgress','Shipped','Error')</t>
  </si>
  <si>
    <t>Total Batch</t>
  </si>
  <si>
    <t>select * from am.MailBatches
where receivedon &gt; '2018-07-28 03:59:59' and  receivedon &lt; '2018-07-29 03:59:59' 
and clientid = 101</t>
  </si>
  <si>
    <t>SLA Days</t>
  </si>
  <si>
    <t xml:space="preserve">select m.id,m.shippingstatus,m.DocTypeId,m.Documentorpackagetype,mb.receivedon,mb.validationstatus,m.duedate,m.ErrorCode,m.errordesc,d.bizdaycutoff,d.bizdayslatype,d.bizdaytimespan,d.satcutoff,d.satslatype,d.sattimespan,d.suncutoff,d.sunslatype,d.suntimespan from [AM].[MailBatches] mb, [AM].[MailPieces] m left outer join [AM].[DocTypes] d ON m.DocTypeId=d.Id where mb.Id=m.[MailBatchId]
--and mb.receivedon &gt; '2018-07-27 03:59:59' and  mb.receivedon &lt; '2018-07-28 03:59:59'
and mb.ClientId = 101
--and m.shippingstatus &lt;&gt; 'Shipped'
and m.id in (18972, 18822, 19020, 19061, 19013, 19314, 20084, 19402)
--select * from [AM].[DocTypes] where Id = 69
 </t>
  </si>
  <si>
    <t>USPS</t>
  </si>
  <si>
    <t>DocTypeCode</t>
  </si>
  <si>
    <t>ClientId</t>
  </si>
  <si>
    <t>PrintSize</t>
  </si>
  <si>
    <t>ContentScalePercent</t>
  </si>
  <si>
    <t>PrintFormat</t>
  </si>
  <si>
    <t>QCPercent</t>
  </si>
  <si>
    <t>ShippingCarrier</t>
  </si>
  <si>
    <t>ShippingServiceType</t>
  </si>
  <si>
    <t>ShippingAccountCode</t>
  </si>
  <si>
    <t>IsReturnInfoSpecified</t>
  </si>
  <si>
    <t>RetRcptPrefix</t>
  </si>
  <si>
    <t>RetRcptFirstName</t>
  </si>
  <si>
    <t>RetRcptMiddleName</t>
  </si>
  <si>
    <t>RetRcptLastName</t>
  </si>
  <si>
    <t>RetRcptSuffix</t>
  </si>
  <si>
    <t>RetRcptPhone</t>
  </si>
  <si>
    <t>RetRcptOrganization</t>
  </si>
  <si>
    <t>RetRcptAddrOptionalLine1AboveStreet</t>
  </si>
  <si>
    <t>RetRcptAddrOptionalLine2AboveStreet</t>
  </si>
  <si>
    <t>RetRcptAddressStreet</t>
  </si>
  <si>
    <t>RetRcptAddressAptOrSuiteOrOther</t>
  </si>
  <si>
    <t>RetRcptAddrOptionalLine1BelowStreet</t>
  </si>
  <si>
    <t>RetRcptAddrOptionalLine2BelowStreet</t>
  </si>
  <si>
    <t>RetRcptAddressCity</t>
  </si>
  <si>
    <t>RetRcptAddressState</t>
  </si>
  <si>
    <t>RetRcptAddressZIP</t>
  </si>
  <si>
    <t>ClientEmails</t>
  </si>
  <si>
    <t>ClientContactNo</t>
  </si>
  <si>
    <t>SupportEmails</t>
  </si>
  <si>
    <t>SupportContactNo</t>
  </si>
  <si>
    <t>IsActive</t>
  </si>
  <si>
    <t>ModifiedOn</t>
  </si>
  <si>
    <t>CreatedOn</t>
  </si>
  <si>
    <t>CreatedBy</t>
  </si>
  <si>
    <t>ModifiedBy</t>
  </si>
  <si>
    <t>Description</t>
  </si>
  <si>
    <t>BizdayCutOff</t>
  </si>
  <si>
    <t>BizdaySLAType</t>
  </si>
  <si>
    <t>BizdayTimeSpan</t>
  </si>
  <si>
    <t>SatCutOff</t>
  </si>
  <si>
    <t>SatSLAType</t>
  </si>
  <si>
    <t>SatTimeSpan</t>
  </si>
  <si>
    <t>SunCutOff</t>
  </si>
  <si>
    <t>SunSLAType</t>
  </si>
  <si>
    <t>SunTimeSpan</t>
  </si>
  <si>
    <t>AppraisalReportWaiver</t>
  </si>
  <si>
    <t>LETTER-IP</t>
  </si>
  <si>
    <t>Simplex</t>
  </si>
  <si>
    <t>FedEx</t>
  </si>
  <si>
    <t>PRIORITY_OVERNIGHT</t>
  </si>
  <si>
    <t>USAA_PROD</t>
  </si>
  <si>
    <t>NULL</t>
  </si>
  <si>
    <t>66f8d3e7-b66a-48d9-911f-d3914f1b3a11</t>
  </si>
  <si>
    <t>Appraisal Report Waiver</t>
  </si>
  <si>
    <t>FixedTime</t>
  </si>
  <si>
    <t>00:23:59:59</t>
  </si>
  <si>
    <t>NA</t>
  </si>
  <si>
    <t>InitialDisclosures</t>
  </si>
  <si>
    <t>Initial Disclosures</t>
  </si>
  <si>
    <t>StandAloneLoanEstimate</t>
  </si>
  <si>
    <t>Stand Alone - Loan Estimate</t>
  </si>
  <si>
    <t>Approval</t>
  </si>
  <si>
    <t>Duration</t>
  </si>
  <si>
    <t>01:00:00:00</t>
  </si>
  <si>
    <t>LPMIDisclosures</t>
  </si>
  <si>
    <t>LPMI Disclosures</t>
  </si>
  <si>
    <t>PreApprovalPackage</t>
  </si>
  <si>
    <t>Pre Approval</t>
  </si>
  <si>
    <t>AppraisalReportWaiver_E</t>
  </si>
  <si>
    <t>USPS_EXPRESSMAIL</t>
  </si>
  <si>
    <t>Appraisal Report Waiver-ExpressMailing</t>
  </si>
  <si>
    <t>StandAloneLoanEstimate_E</t>
  </si>
  <si>
    <t>Stand Alone - Loan Estimate-ExpressMailing</t>
  </si>
  <si>
    <t>InitialDisclosures_E</t>
  </si>
  <si>
    <t>Initial Disclosures-ExpressMailing</t>
  </si>
  <si>
    <t>STATUS</t>
  </si>
  <si>
    <t>HSBC</t>
  </si>
  <si>
    <t>Batches</t>
  </si>
  <si>
    <t>select * from am.MailBatches
where receivedon &gt; '2018-07-28 03:59:59' and  receivedon &lt; '2018-07-29 03:59:59' 
and clientid = 104</t>
  </si>
  <si>
    <t>DocTypes</t>
  </si>
  <si>
    <t>select * from [AM].[DocTypes]
where clientid = 104</t>
  </si>
  <si>
    <t>select m.businessfriendlyidvalue,mb.batchname,m.shippingstatus,mb.receivedon,m.duedate,m.shippedon,m.DocTypeId,m.Documentorpackagetype,m.errordesc from [AM].[MailBatches] mb, [AM].[MailPieces] m left outer join [AM].[DocTypes] d ON m.DocTypeId=d.Id where m.[MailBatchId] = mb.Id
and sladays &lt; 0 AND m.ShippingStatus not IN ('Error')
and mb.receivedon &gt; '2018-08-1 03:59:59' and  mb.receivedon &lt; '2018-08-2 03:59:59' 
and m.clientid = 104
--AND m.ShippingStatus IN ('inprogress')
--AND m.ShippingStatus IN ('Error')
---AND m.ShippingStatus IN ('shipped')</t>
  </si>
  <si>
    <t>Mail Pieces - all status</t>
  </si>
  <si>
    <t>sr.</t>
  </si>
  <si>
    <t>get batch with more then 50 mail pieces
• create .pdf file by merging .pdfs them all In single .pdf file</t>
  </si>
  <si>
    <t>console app</t>
  </si>
  <si>
    <t>check whther print location is updated or not In table</t>
  </si>
  <si>
    <t>mail piece table</t>
  </si>
  <si>
    <t xml:space="preserve">check print location column 
• Design - mailpiece table, type unique column
• check update on getting dallas type mail pieces </t>
  </si>
  <si>
    <t>Create Batch</t>
  </si>
  <si>
    <t>Expected Results</t>
  </si>
  <si>
    <t>Case</t>
  </si>
  <si>
    <t xml:space="preserve">♣ Downloded before 5pm - send to PCI
♣ Downloded after 5pm - send to Dallas
♣ Downloded before 8pm - send to dallas
♣ Downloded after 8pm - send to pci </t>
  </si>
  <si>
    <t>pullBack</t>
  </si>
  <si>
    <t>Algo - if PrintLocation "PCI" then Only send email of PullBackRequest.</t>
  </si>
  <si>
    <t>test  scanning app</t>
  </si>
  <si>
    <t>scanner setup</t>
  </si>
  <si>
    <r>
      <rPr>
        <b/>
        <sz val="11"/>
        <color theme="1"/>
        <rFont val="Calibri"/>
        <family val="2"/>
        <scheme val="minor"/>
      </rPr>
      <t>• ALASKA, HSBC and USAA - all with  50 mailpieces</t>
    </r>
    <r>
      <rPr>
        <sz val="11"/>
        <color theme="1"/>
        <rFont val="Calibri"/>
        <family val="2"/>
        <scheme val="minor"/>
      </rPr>
      <t xml:space="preserve">
• create fedex batch with time
  ♦  downloaded time -  4.58pm, 7.58
  ♦  downloaded time -  5.02pm , 8.02 
  ♦ before cut off and after cut off
  ♦ downloaded on - 8.05pm</t>
    </r>
  </si>
  <si>
    <t>configure all - required smart phones with scan app in mahesh and dhaval comp</t>
  </si>
  <si>
    <t>test parallay all 3 clients in 3 computers</t>
  </si>
  <si>
    <t>tell to satish</t>
  </si>
  <si>
    <t>remove all prefix 0 in barcode for testing</t>
  </si>
  <si>
    <t>test all clients</t>
  </si>
  <si>
    <t>Clean Database</t>
  </si>
  <si>
    <t>DELETE FROM [Common].[MailPiecePageInfo]
DELETE FROM [PnS].LogBatchTimeLine
DELETE FROM [PnS].MRDFResponse
DELETE FROM [PnS].MRDFRequest
DELETE FROM [PnS].BatchSummary
DBCC CHECKIDENT('[PnS].BatchSummary', RESEED, 1000)
DELETE FROM [Common].[MailPiecePageInfo]
DELETE FROM [AM].[LogBatchTimeLine]
DELETE FROM [AM].[MailPieceCustomInfo]
DELETE FROM [AM].[PullBackRequests]
DELETE FROM [AM].[MailPieces]
DELETE FROM [AM].[PrintBatches]
DBCC CHECKIDENT('[AM].[PullBackRequests]', RESEED, 0)
DBCC CHECKIDENT('[AM].[PrintBatches]', RESEED, 1000)
DBCC CHECKIDENT('[AM].[MailPieces]', RESEED, 1000)
DELETE FROM [AM].[MailBatchCustomInfo]
DELETE FROM [AM].[MailBatches]
DBCC CHECKIDENT('[AM].[MailBatches]', RESEED, 1000)</t>
  </si>
  <si>
    <t>Deployment check</t>
  </si>
  <si>
    <t>Take watch in Config file and test tracking number (web barcode app cofig.)</t>
  </si>
  <si>
    <t>Get Dallas mail pieces details</t>
  </si>
  <si>
    <t>select * from [AM].[MailPieces] 
where mailbatchid in 
(select id from am.MailBatches
where receivedon &gt; '2018-08-7 03:59:59' and  receivedon &lt; '2018-08-8 03:59:59' 
and clientid = 101)
and printlocation like '%dallas%'</t>
  </si>
  <si>
    <t xml:space="preserve">fedex </t>
  </si>
  <si>
    <t>duration</t>
  </si>
  <si>
    <t>QC</t>
  </si>
  <si>
    <t>fixed time</t>
  </si>
  <si>
    <t>no QC</t>
  </si>
  <si>
    <t>Total</t>
  </si>
  <si>
    <t>FedexFixedTime</t>
  </si>
  <si>
    <t>USPSDuration</t>
  </si>
  <si>
    <t>USPSFixedTime</t>
  </si>
  <si>
    <t xml:space="preserve">select m.id,m.shippingstatus,m.DocTypeId,m.Documentorpackagetype,mb.receivedon,m.ShippedOn,mb.validationstatus,m.duedate,m.ErrorCode,m.errordesc from [AM].[MailBatches] mb, [AM].[MailPieces] m left outer join [AM].[DocTypes] d ON m.DocTypeId=d.Id where m.[MailBatchId] = mb.Id
--and sladays &lt; 0 AND m.ShippingStatus not IN ('Error')
and mb.receivedon &gt; '2018-08-12 03:59:59' and  mb.receivedon &lt; '2018-08-13 03:59:59' 
and m.clientid = 101
AND m.ShippingStatus IN ('inprogress') 
--AND m.ShippingStatus IN ('Error')
---AND m.ShippingStatus IN ('shipped') </t>
  </si>
  <si>
    <t>Revert to Prepped Stage All Batches
DELETE FROM AM.PrintBatches
DBCC CHECKIDENT('[AM].[PrintBatches]', RESEED, 1000)
UPDATE AM.MailPieces
SET
PrintBatchId=NULL
WHERE ShippingStatus='InProgress'
UPDATE AM.MailBatches
SET
SubmittedToShippingOn=NULL,
ShippingResponseReceivedOn=NULL,
PipelineStatus='Prepped'
WHERE ValidationStatus IN ('Valid','PartiallyValid')</t>
  </si>
  <si>
    <t>select 
m.businessfriendlyidvalue,d.DocTypeCode,MissedSLAreason,
DATEADD(HOUR,-4,mb.receivedon) as Received, 
DATEADD(HOUR,-4,bs.submittedon) as Submitted,
DATEADD(HOUR,-4,m.shippedon) as Shipped ,
DATEADD(HOUR,-4,m.duedate) as DueDate, 
Datediff(minute,mb.receivedon,bs.submittedon) as [Diff in Minutes], m.printlocation, m.MissedSLAReason, m.shippingstatus, m.DocTypeId, m.Documentorpackagetype
from [AM].[MailBatches] mb,[AM].[MailPieces] m 
left outer join [AM].[DocTypes] d ON m.DocTypeId=d.Id 
left outer join [PnS].[MRDFRequest] as r on m.uniqueid = r.uniqueid
left outer join [PnS].[BatchSummary] as bs on r.jobid = bs.printbatch
where m.[MailBatchId] = mb.Id AND m.ShippingStatus not IN ('Error')
and (m.MissedSLAReason &lt;&gt; 'NA' or m.MissedSLAReason is null) and m.SLADays&lt;0
and mb.receivedon between '2018-12-27 03:59:59' and '2018-12-28 03:59:59'
and m.clientid = 104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</si>
</sst>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m/d/yy\ h:mm\ AM/PM;@"/>
    <numFmt numFmtId="165" formatCode="m/d/yy\ h:mm;@"/>
  </numFmts>
  <fonts count="13" x14ac:knownFonts="1">
    <font>
      <sz val="11"/>
      <color theme="1"/>
      <name val="Calibri"/>
      <family val="2"/>
      <scheme val="minor"/>
    </font>
    <font>
      <b/>
      <sz val="12"/>
      <color theme="1"/>
      <name val="Calibri"/>
      <family val="2"/>
      <scheme val="minor"/>
    </font>
    <font>
      <sz val="10"/>
      <color theme="1"/>
      <name val="Arial"/>
      <family val="2"/>
    </font>
    <font>
      <b/>
      <sz val="11"/>
      <color theme="1"/>
      <name val="Calibri"/>
      <family val="2"/>
      <scheme val="minor"/>
    </font>
    <font>
      <sz val="11"/>
      <color rgb="FF38424A"/>
      <name val="Arial"/>
      <family val="2"/>
    </font>
    <font>
      <sz val="10"/>
      <color theme="1"/>
      <name val="Calibri"/>
      <family val="2"/>
      <scheme val="minor"/>
    </font>
    <font>
      <u/>
      <sz val="11"/>
      <color theme="10"/>
      <name val="Calibri"/>
      <family val="2"/>
      <scheme val="minor"/>
    </font>
    <font>
      <b/>
      <sz val="13"/>
      <color theme="0"/>
      <name val="Calibri"/>
      <family val="2"/>
      <scheme val="minor"/>
    </font>
    <font>
      <b/>
      <sz val="16"/>
      <color theme="1"/>
      <name val="Calibri"/>
      <family val="2"/>
      <scheme val="minor"/>
    </font>
    <font>
      <b/>
      <sz val="11"/>
      <color theme="0"/>
      <name val="Calibri"/>
      <family val="2"/>
      <scheme val="minor"/>
    </font>
    <font>
      <sz val="11"/>
      <name val="Arial"/>
      <family val="2"/>
    </font>
    <font>
      <b/>
      <sz val="14"/>
      <color theme="1"/>
      <name val="Calibri"/>
      <family val="2"/>
      <scheme val="minor"/>
    </font>
    <font>
      <b/>
      <sz val="11"/>
      <color rgb="FF38424A"/>
      <name val="Arial"/>
      <family val="2"/>
    </font>
  </fonts>
  <fills count="8">
    <fill>
      <patternFill patternType="none"/>
    </fill>
    <fill>
      <patternFill patternType="gray125"/>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63">
    <xf numFmtId="0" fontId="0" fillId="0" borderId="0" xfId="0"/>
    <xf numFmtId="0" fontId="1" fillId="0" borderId="0" xfId="0" applyFont="1"/>
    <xf numFmtId="0" fontId="1" fillId="0" borderId="0" xfId="0" applyFont="1" applyAlignment="1">
      <alignment wrapText="1"/>
    </xf>
    <xf numFmtId="0" fontId="2" fillId="0" borderId="1" xfId="0" applyFont="1" applyBorder="1" applyAlignment="1">
      <alignment vertical="center"/>
    </xf>
    <xf numFmtId="0" fontId="0" fillId="0" borderId="0" xfId="0" applyFont="1" applyAlignment="1">
      <alignment wrapText="1"/>
    </xf>
    <xf numFmtId="0" fontId="0" fillId="0" borderId="0" xfId="0" applyFont="1"/>
    <xf numFmtId="0" fontId="0" fillId="0" borderId="0" xfId="0" quotePrefix="1"/>
    <xf numFmtId="22" fontId="4" fillId="0" borderId="0" xfId="0" quotePrefix="1" applyNumberFormat="1" applyFont="1"/>
    <xf numFmtId="0" fontId="3" fillId="0" borderId="0" xfId="0" applyFont="1"/>
    <xf numFmtId="0" fontId="0" fillId="0" borderId="0" xfId="0" applyFont="1" applyBorder="1"/>
    <xf numFmtId="14" fontId="0" fillId="0" borderId="0" xfId="0" applyNumberFormat="1" applyFont="1"/>
    <xf numFmtId="0" fontId="5" fillId="0" borderId="0" xfId="0" applyFont="1" applyBorder="1" applyAlignment="1">
      <alignment wrapText="1"/>
    </xf>
    <xf numFmtId="0" fontId="5" fillId="0" borderId="1" xfId="0" applyFont="1" applyBorder="1" applyAlignment="1">
      <alignment wrapText="1"/>
    </xf>
    <xf numFmtId="0" fontId="6" fillId="0" borderId="0" xfId="1"/>
    <xf numFmtId="164" fontId="0" fillId="0" borderId="0" xfId="0" applyNumberFormat="1"/>
    <xf numFmtId="0" fontId="3" fillId="0" borderId="0" xfId="0" quotePrefix="1" applyFont="1"/>
    <xf numFmtId="0" fontId="0"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0" fillId="0" borderId="0" xfId="0" applyAlignment="1">
      <alignment wrapText="1"/>
    </xf>
    <xf numFmtId="165" fontId="0" fillId="0" borderId="0" xfId="0" applyNumberFormat="1"/>
    <xf numFmtId="0" fontId="7" fillId="2" borderId="0" xfId="0" applyFont="1" applyFill="1" applyAlignment="1">
      <alignment horizontal="center" vertical="center" wrapText="1"/>
    </xf>
    <xf numFmtId="0" fontId="1" fillId="0" borderId="0" xfId="0" applyFont="1" applyAlignment="1">
      <alignment horizontal="center" vertical="center"/>
    </xf>
    <xf numFmtId="22" fontId="0" fillId="0" borderId="0" xfId="0" applyNumberFormat="1"/>
    <xf numFmtId="0" fontId="0" fillId="3" borderId="0" xfId="0" applyFont="1" applyFill="1" applyAlignment="1">
      <alignment horizontal="center" vertical="center"/>
    </xf>
    <xf numFmtId="0" fontId="0" fillId="0" borderId="0" xfId="0" applyFont="1" applyFill="1" applyAlignment="1">
      <alignment horizontal="center" vertical="center"/>
    </xf>
    <xf numFmtId="0" fontId="0" fillId="0" borderId="0" xfId="0" quotePrefix="1" applyFont="1" applyAlignment="1">
      <alignment wrapText="1"/>
    </xf>
    <xf numFmtId="14" fontId="1" fillId="0" borderId="0" xfId="0" applyNumberFormat="1" applyFont="1" applyFill="1" applyAlignment="1">
      <alignment horizontal="center" vertical="center"/>
    </xf>
    <xf numFmtId="14" fontId="1" fillId="0" borderId="0" xfId="0" applyNumberFormat="1" applyFont="1"/>
    <xf numFmtId="14" fontId="5" fillId="0" borderId="0" xfId="0" applyNumberFormat="1" applyFont="1" applyBorder="1" applyAlignment="1">
      <alignment wrapText="1"/>
    </xf>
    <xf numFmtId="15" fontId="0" fillId="0" borderId="0" xfId="0" applyNumberFormat="1" applyFont="1"/>
    <xf numFmtId="0" fontId="3" fillId="0" borderId="0" xfId="0" applyFont="1" applyAlignment="1">
      <alignment wrapText="1"/>
    </xf>
    <xf numFmtId="0" fontId="9" fillId="4" borderId="0" xfId="0" applyFont="1" applyFill="1" applyAlignment="1">
      <alignment horizontal="center" vertical="center"/>
    </xf>
    <xf numFmtId="0" fontId="4"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8" fillId="0" borderId="0" xfId="0" applyFont="1" applyAlignment="1">
      <alignment wrapText="1"/>
    </xf>
    <xf numFmtId="22" fontId="4" fillId="0" borderId="0" xfId="0" applyNumberFormat="1" applyFont="1"/>
    <xf numFmtId="22" fontId="12" fillId="0" borderId="0" xfId="0" applyNumberFormat="1" applyFont="1"/>
    <xf numFmtId="0" fontId="1" fillId="3" borderId="0" xfId="0" applyFont="1" applyFill="1"/>
    <xf numFmtId="0" fontId="11" fillId="0" borderId="0" xfId="0" applyFont="1" applyAlignment="1">
      <alignment horizontal="center" vertical="center" wrapText="1"/>
    </xf>
    <xf numFmtId="0" fontId="11"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1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49" fontId="0" fillId="0" borderId="0" xfId="0" applyNumberFormat="1"/>
    <xf numFmtId="49" fontId="4" fillId="0" borderId="0" xfId="0" quotePrefix="1" applyNumberFormat="1" applyFont="1"/>
    <xf numFmtId="49" fontId="4" fillId="0" borderId="0" xfId="0" applyNumberFormat="1" applyFont="1"/>
    <xf numFmtId="49" fontId="3" fillId="0" borderId="0" xfId="0" applyNumberFormat="1" applyFont="1"/>
    <xf numFmtId="47" fontId="0" fillId="0" borderId="0" xfId="0" applyNumberFormat="1"/>
    <xf numFmtId="21" fontId="0" fillId="0" borderId="0" xfId="0" applyNumberFormat="1"/>
    <xf numFmtId="0" fontId="0" fillId="5" borderId="0" xfId="0" applyFill="1"/>
    <xf numFmtId="0" fontId="0" fillId="6" borderId="0" xfId="0" applyFill="1"/>
    <xf numFmtId="0" fontId="0" fillId="7" borderId="0" xfId="0" applyFill="1"/>
  </cellXfs>
  <cellStyles count="2">
    <cellStyle name="Hyperlink" xfId="1" builtinId="8"/>
    <cellStyle name="Normal" xfId="0" builtinId="0"/>
  </cellStyles>
  <dxfs count="24">
    <dxf>
      <fill>
        <patternFill>
          <bgColor rgb="FF92D050"/>
        </patternFill>
      </fill>
    </dxf>
    <dxf>
      <fill>
        <patternFill>
          <bgColor rgb="FFFF5050"/>
        </patternFill>
      </fill>
    </dxf>
    <dxf>
      <fill>
        <patternFill>
          <bgColor theme="4" tint="0.39994506668294322"/>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assword@3" TargetMode="External"/><Relationship Id="rId2" Type="http://schemas.openxmlformats.org/officeDocument/2006/relationships/hyperlink" Target="mailto:Authomail@User" TargetMode="External"/><Relationship Id="rId1" Type="http://schemas.openxmlformats.org/officeDocument/2006/relationships/hyperlink" Target="mailto:Authomail@User" TargetMode="External"/><Relationship Id="rId6" Type="http://schemas.openxmlformats.org/officeDocument/2006/relationships/printerSettings" Target="../printerSettings/printerSettings2.bin"/><Relationship Id="rId5" Type="http://schemas.openxmlformats.org/officeDocument/2006/relationships/hyperlink" Target="mailto:Passcode@4" TargetMode="External"/><Relationship Id="rId4" Type="http://schemas.openxmlformats.org/officeDocument/2006/relationships/hyperlink" Target="mailto:Client@12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255"/>
  <sheetViews>
    <sheetView zoomScaleNormal="100" workbookViewId="0">
      <pane ySplit="2" topLeftCell="A205" activePane="bottomLeft" state="frozen"/>
      <selection pane="bottomLeft" activeCell="A207" sqref="A207"/>
    </sheetView>
  </sheetViews>
  <sheetFormatPr defaultRowHeight="15" x14ac:dyDescent="0.25"/>
  <cols>
    <col min="1" max="1" width="5.7109375" style="5" customWidth="1"/>
    <col min="2" max="2" width="70" style="4" customWidth="1"/>
    <col min="3" max="3" width="22.5703125" style="5" customWidth="1"/>
    <col min="4" max="4" width="16" style="5" customWidth="1"/>
    <col min="5" max="5" width="16" style="16" customWidth="1"/>
    <col min="6" max="6" width="18.7109375" style="5" customWidth="1"/>
    <col min="7" max="7" width="19.7109375" style="10" customWidth="1"/>
    <col min="8" max="8" width="29.42578125" style="4" customWidth="1"/>
    <col min="9" max="16384" width="9.140625" style="5"/>
  </cols>
  <sheetData>
    <row r="1" spans="1:8" s="16" customFormat="1" ht="94.5" customHeight="1" x14ac:dyDescent="0.25">
      <c r="B1" s="18" t="s">
        <v>105</v>
      </c>
      <c r="C1" s="23" t="str">
        <f>"Total"&amp;" = "&amp;SUM(COUNTIF(D3:D496,{"Assigned","Completed","Enhancement","Inprogress"}))&amp;CHAR(10)&amp;" Completed = "&amp;COUNTIF($D$3:$D$491,"Completed")&amp;CHAR(10)&amp;"InProgress = "&amp;COUNTIF($D$3:$D$491,"inprogress")&amp;CHAR(10)&amp;"Assigned = "&amp;COUNTIF($D$3:$D$491,"Assigned")&amp;CHAR(10)&amp;"Enhancement = "&amp;COUNTIF($D$3:$D$491,"Enhancement")</f>
        <v>Total = 209
 Completed = 183
InProgress = 8
Assigned = 12
Enhancement = 6</v>
      </c>
      <c r="D1" s="19"/>
      <c r="E1" s="19"/>
      <c r="F1" s="20"/>
      <c r="G1" s="29"/>
      <c r="H1" s="17"/>
    </row>
    <row r="2" spans="1:8" ht="15.75" x14ac:dyDescent="0.25">
      <c r="A2" s="1" t="s">
        <v>0</v>
      </c>
      <c r="B2" s="2" t="s">
        <v>1</v>
      </c>
      <c r="C2" s="1" t="s">
        <v>2</v>
      </c>
      <c r="D2" s="1" t="s">
        <v>5</v>
      </c>
      <c r="E2" s="24" t="s">
        <v>129</v>
      </c>
      <c r="F2" s="1" t="s">
        <v>3</v>
      </c>
      <c r="G2" s="30" t="s">
        <v>4</v>
      </c>
      <c r="H2" s="2" t="s">
        <v>67</v>
      </c>
    </row>
    <row r="3" spans="1:8" hidden="1" x14ac:dyDescent="0.25">
      <c r="A3" s="9">
        <v>1</v>
      </c>
      <c r="B3" s="11" t="s">
        <v>6</v>
      </c>
      <c r="C3" s="11" t="s">
        <v>41</v>
      </c>
      <c r="D3" s="5" t="s">
        <v>54</v>
      </c>
      <c r="E3" s="16" t="s">
        <v>131</v>
      </c>
      <c r="F3" s="11"/>
      <c r="G3" s="31"/>
    </row>
    <row r="4" spans="1:8" ht="26.25" hidden="1" x14ac:dyDescent="0.25">
      <c r="A4" s="9">
        <f t="shared" ref="A4:A10" si="0">IF(B4&lt;&gt;"",A3+1,"")</f>
        <v>2</v>
      </c>
      <c r="B4" s="11" t="s">
        <v>7</v>
      </c>
      <c r="C4" s="11" t="s">
        <v>48</v>
      </c>
      <c r="D4" s="5" t="s">
        <v>54</v>
      </c>
      <c r="E4" s="16" t="s">
        <v>131</v>
      </c>
      <c r="F4" s="11"/>
      <c r="G4" s="31"/>
    </row>
    <row r="5" spans="1:8" hidden="1" x14ac:dyDescent="0.25">
      <c r="A5" s="9">
        <f t="shared" si="0"/>
        <v>3</v>
      </c>
      <c r="B5" s="11" t="s">
        <v>8</v>
      </c>
      <c r="C5" s="11" t="s">
        <v>24</v>
      </c>
      <c r="D5" s="5" t="s">
        <v>54</v>
      </c>
      <c r="E5" s="16" t="s">
        <v>131</v>
      </c>
      <c r="F5" s="11"/>
      <c r="G5" s="31"/>
    </row>
    <row r="6" spans="1:8" hidden="1" x14ac:dyDescent="0.25">
      <c r="A6" s="9">
        <f t="shared" si="0"/>
        <v>4</v>
      </c>
      <c r="B6" s="11" t="s">
        <v>9</v>
      </c>
      <c r="C6" s="11" t="s">
        <v>32</v>
      </c>
      <c r="D6" s="5" t="s">
        <v>54</v>
      </c>
      <c r="E6" s="16" t="s">
        <v>131</v>
      </c>
      <c r="F6" s="11"/>
      <c r="G6" s="31"/>
    </row>
    <row r="7" spans="1:8" hidden="1" x14ac:dyDescent="0.25">
      <c r="A7" s="9">
        <f t="shared" si="0"/>
        <v>5</v>
      </c>
      <c r="B7" s="11" t="s">
        <v>10</v>
      </c>
      <c r="C7" s="11" t="s">
        <v>48</v>
      </c>
      <c r="D7" s="5" t="s">
        <v>54</v>
      </c>
      <c r="E7" s="16" t="s">
        <v>131</v>
      </c>
      <c r="F7" s="11"/>
      <c r="G7" s="31"/>
    </row>
    <row r="8" spans="1:8" hidden="1" x14ac:dyDescent="0.25">
      <c r="A8" s="9">
        <f t="shared" si="0"/>
        <v>6</v>
      </c>
      <c r="B8" s="11" t="s">
        <v>11</v>
      </c>
      <c r="C8" s="11" t="s">
        <v>32</v>
      </c>
      <c r="D8" s="5" t="s">
        <v>54</v>
      </c>
      <c r="E8" s="16" t="s">
        <v>131</v>
      </c>
      <c r="F8" s="11"/>
      <c r="G8" s="31"/>
    </row>
    <row r="9" spans="1:8" hidden="1" x14ac:dyDescent="0.25">
      <c r="A9" s="9">
        <f t="shared" si="0"/>
        <v>7</v>
      </c>
      <c r="B9" s="11" t="s">
        <v>12</v>
      </c>
      <c r="C9" s="11" t="s">
        <v>41</v>
      </c>
      <c r="D9" s="5" t="s">
        <v>54</v>
      </c>
      <c r="E9" s="16" t="s">
        <v>131</v>
      </c>
      <c r="F9" s="11"/>
      <c r="G9" s="31"/>
    </row>
    <row r="10" spans="1:8" hidden="1" x14ac:dyDescent="0.25">
      <c r="A10" s="9">
        <f t="shared" si="0"/>
        <v>8</v>
      </c>
      <c r="B10" s="11" t="s">
        <v>13</v>
      </c>
      <c r="C10" s="11" t="s">
        <v>32</v>
      </c>
      <c r="D10" s="5" t="s">
        <v>54</v>
      </c>
      <c r="E10" s="16" t="s">
        <v>131</v>
      </c>
      <c r="F10" s="11"/>
      <c r="G10" s="31"/>
    </row>
    <row r="11" spans="1:8" hidden="1" x14ac:dyDescent="0.25">
      <c r="A11" s="9">
        <v>9</v>
      </c>
      <c r="B11" s="11" t="s">
        <v>14</v>
      </c>
      <c r="C11" s="11" t="s">
        <v>41</v>
      </c>
      <c r="D11" s="5" t="s">
        <v>54</v>
      </c>
      <c r="E11" s="16" t="s">
        <v>131</v>
      </c>
      <c r="F11" s="11"/>
      <c r="G11" s="31"/>
    </row>
    <row r="12" spans="1:8" hidden="1" x14ac:dyDescent="0.25">
      <c r="A12" s="5">
        <f t="shared" ref="A12:A41" si="1">IF(B12&lt;&gt;"",A11+1,"")</f>
        <v>10</v>
      </c>
      <c r="B12" s="4" t="s">
        <v>22</v>
      </c>
      <c r="C12" s="5" t="s">
        <v>24</v>
      </c>
      <c r="D12" s="5" t="s">
        <v>54</v>
      </c>
      <c r="E12" s="16" t="s">
        <v>131</v>
      </c>
      <c r="F12" s="10">
        <v>43182</v>
      </c>
      <c r="G12" s="10">
        <v>43181</v>
      </c>
    </row>
    <row r="13" spans="1:8" hidden="1" x14ac:dyDescent="0.25">
      <c r="A13" s="5">
        <f t="shared" si="1"/>
        <v>11</v>
      </c>
      <c r="B13" s="4" t="s">
        <v>23</v>
      </c>
      <c r="C13" s="5" t="s">
        <v>24</v>
      </c>
      <c r="D13" s="5" t="s">
        <v>54</v>
      </c>
      <c r="E13" s="16" t="s">
        <v>131</v>
      </c>
      <c r="F13" s="10">
        <v>43182</v>
      </c>
      <c r="G13" s="10">
        <v>43181</v>
      </c>
    </row>
    <row r="14" spans="1:8" hidden="1" x14ac:dyDescent="0.25">
      <c r="A14" s="5">
        <f t="shared" si="1"/>
        <v>12</v>
      </c>
      <c r="B14" s="4" t="s">
        <v>25</v>
      </c>
      <c r="C14" s="5" t="s">
        <v>24</v>
      </c>
      <c r="D14" s="5" t="s">
        <v>54</v>
      </c>
      <c r="E14" s="16" t="s">
        <v>131</v>
      </c>
      <c r="F14" s="10">
        <v>43182</v>
      </c>
      <c r="G14" s="10">
        <v>43181</v>
      </c>
      <c r="H14" s="4" t="s">
        <v>69</v>
      </c>
    </row>
    <row r="15" spans="1:8" hidden="1" x14ac:dyDescent="0.25">
      <c r="A15" s="5">
        <f t="shared" si="1"/>
        <v>13</v>
      </c>
      <c r="B15" s="4" t="s">
        <v>26</v>
      </c>
      <c r="C15" s="5" t="s">
        <v>24</v>
      </c>
      <c r="D15" s="5" t="s">
        <v>54</v>
      </c>
      <c r="E15" s="16" t="s">
        <v>131</v>
      </c>
      <c r="F15" s="10">
        <v>43182</v>
      </c>
      <c r="G15" s="10">
        <v>43181</v>
      </c>
    </row>
    <row r="16" spans="1:8" hidden="1" x14ac:dyDescent="0.25">
      <c r="A16" s="5">
        <f t="shared" si="1"/>
        <v>14</v>
      </c>
      <c r="B16" s="4" t="s">
        <v>27</v>
      </c>
      <c r="C16" s="5" t="s">
        <v>24</v>
      </c>
      <c r="D16" s="5" t="s">
        <v>54</v>
      </c>
      <c r="E16" s="16" t="s">
        <v>131</v>
      </c>
      <c r="F16" s="10">
        <v>43182</v>
      </c>
      <c r="G16" s="10">
        <v>43181</v>
      </c>
    </row>
    <row r="17" spans="1:7" ht="15.75" hidden="1" thickBot="1" x14ac:dyDescent="0.3">
      <c r="A17" s="5">
        <f t="shared" si="1"/>
        <v>15</v>
      </c>
      <c r="B17" s="12" t="s">
        <v>28</v>
      </c>
      <c r="C17" s="12" t="s">
        <v>24</v>
      </c>
      <c r="D17" s="5" t="s">
        <v>54</v>
      </c>
      <c r="E17" s="16" t="s">
        <v>131</v>
      </c>
      <c r="F17" s="10">
        <v>43182</v>
      </c>
      <c r="G17" s="10">
        <v>43181</v>
      </c>
    </row>
    <row r="18" spans="1:7" hidden="1" x14ac:dyDescent="0.25">
      <c r="A18" s="5">
        <f t="shared" si="1"/>
        <v>16</v>
      </c>
      <c r="B18" s="4" t="s">
        <v>29</v>
      </c>
      <c r="C18" s="5" t="s">
        <v>24</v>
      </c>
      <c r="D18" s="5" t="s">
        <v>54</v>
      </c>
      <c r="E18" s="16" t="s">
        <v>131</v>
      </c>
      <c r="F18" s="10">
        <v>43182</v>
      </c>
      <c r="G18" s="10">
        <v>43181</v>
      </c>
    </row>
    <row r="19" spans="1:7" hidden="1" x14ac:dyDescent="0.25">
      <c r="A19" s="5">
        <f t="shared" si="1"/>
        <v>17</v>
      </c>
      <c r="B19" s="4" t="s">
        <v>79</v>
      </c>
      <c r="C19" s="5" t="s">
        <v>24</v>
      </c>
      <c r="D19" s="5" t="s">
        <v>54</v>
      </c>
      <c r="E19" s="16" t="s">
        <v>131</v>
      </c>
      <c r="F19" s="10">
        <v>43182</v>
      </c>
      <c r="G19" s="10">
        <v>43181</v>
      </c>
    </row>
    <row r="20" spans="1:7" hidden="1" x14ac:dyDescent="0.25">
      <c r="A20" s="5">
        <f t="shared" si="1"/>
        <v>18</v>
      </c>
      <c r="B20" s="4" t="s">
        <v>56</v>
      </c>
      <c r="C20" s="5" t="s">
        <v>30</v>
      </c>
      <c r="D20" s="5" t="s">
        <v>54</v>
      </c>
      <c r="E20" s="16" t="s">
        <v>131</v>
      </c>
      <c r="F20" s="10">
        <v>43182</v>
      </c>
      <c r="G20" s="10">
        <v>43181</v>
      </c>
    </row>
    <row r="21" spans="1:7" hidden="1" x14ac:dyDescent="0.25">
      <c r="A21" s="8">
        <f t="shared" si="1"/>
        <v>19</v>
      </c>
      <c r="B21" s="4" t="s">
        <v>31</v>
      </c>
      <c r="C21" s="5" t="s">
        <v>24</v>
      </c>
      <c r="D21" s="5" t="s">
        <v>54</v>
      </c>
      <c r="E21" s="16" t="s">
        <v>131</v>
      </c>
      <c r="F21" s="10">
        <v>43182</v>
      </c>
      <c r="G21" s="10">
        <v>43181</v>
      </c>
    </row>
    <row r="22" spans="1:7" hidden="1" x14ac:dyDescent="0.25">
      <c r="A22" s="5">
        <f t="shared" si="1"/>
        <v>20</v>
      </c>
      <c r="B22" s="4" t="s">
        <v>33</v>
      </c>
      <c r="C22" s="5" t="s">
        <v>24</v>
      </c>
      <c r="D22" s="5" t="s">
        <v>54</v>
      </c>
      <c r="E22" s="16" t="s">
        <v>131</v>
      </c>
      <c r="F22" s="10">
        <v>43182</v>
      </c>
      <c r="G22" s="10">
        <v>43181</v>
      </c>
    </row>
    <row r="23" spans="1:7" hidden="1" x14ac:dyDescent="0.25">
      <c r="A23" s="5">
        <f t="shared" si="1"/>
        <v>21</v>
      </c>
      <c r="B23" s="4" t="s">
        <v>34</v>
      </c>
      <c r="C23" s="5" t="s">
        <v>24</v>
      </c>
      <c r="D23" s="5" t="s">
        <v>54</v>
      </c>
      <c r="E23" s="16" t="s">
        <v>131</v>
      </c>
      <c r="F23" s="10">
        <v>43182</v>
      </c>
      <c r="G23" s="10">
        <v>43181</v>
      </c>
    </row>
    <row r="24" spans="1:7" hidden="1" x14ac:dyDescent="0.25">
      <c r="A24" s="5">
        <f t="shared" si="1"/>
        <v>22</v>
      </c>
      <c r="B24" s="4" t="s">
        <v>35</v>
      </c>
      <c r="C24" s="5" t="s">
        <v>24</v>
      </c>
      <c r="D24" s="5" t="s">
        <v>54</v>
      </c>
      <c r="E24" s="16" t="s">
        <v>131</v>
      </c>
      <c r="F24" s="10">
        <v>43182</v>
      </c>
      <c r="G24" s="10">
        <v>43181</v>
      </c>
    </row>
    <row r="25" spans="1:7" ht="16.5" hidden="1" customHeight="1" x14ac:dyDescent="0.25">
      <c r="A25" s="5">
        <f t="shared" si="1"/>
        <v>23</v>
      </c>
      <c r="B25" s="4" t="s">
        <v>36</v>
      </c>
      <c r="C25" s="5" t="s">
        <v>24</v>
      </c>
      <c r="D25" s="5" t="s">
        <v>54</v>
      </c>
      <c r="E25" s="16" t="s">
        <v>131</v>
      </c>
      <c r="F25" s="10">
        <v>43182</v>
      </c>
      <c r="G25" s="10">
        <v>43181</v>
      </c>
    </row>
    <row r="26" spans="1:7" hidden="1" x14ac:dyDescent="0.25">
      <c r="A26" s="5">
        <f t="shared" si="1"/>
        <v>24</v>
      </c>
      <c r="B26" s="4" t="s">
        <v>37</v>
      </c>
      <c r="C26" s="5" t="s">
        <v>24</v>
      </c>
      <c r="D26" s="5" t="s">
        <v>85</v>
      </c>
      <c r="E26" s="16" t="s">
        <v>131</v>
      </c>
      <c r="F26" s="10">
        <v>43182</v>
      </c>
      <c r="G26" s="10">
        <v>43181</v>
      </c>
    </row>
    <row r="27" spans="1:7" hidden="1" x14ac:dyDescent="0.25">
      <c r="A27" s="5">
        <f t="shared" si="1"/>
        <v>25</v>
      </c>
      <c r="B27" s="4" t="s">
        <v>38</v>
      </c>
      <c r="C27" s="5" t="s">
        <v>24</v>
      </c>
      <c r="D27" s="5" t="s">
        <v>54</v>
      </c>
      <c r="E27" s="16" t="s">
        <v>131</v>
      </c>
      <c r="F27" s="10">
        <v>43182</v>
      </c>
      <c r="G27" s="10">
        <v>43181</v>
      </c>
    </row>
    <row r="28" spans="1:7" hidden="1" x14ac:dyDescent="0.25">
      <c r="A28" s="5">
        <f t="shared" si="1"/>
        <v>26</v>
      </c>
      <c r="B28" s="4" t="s">
        <v>39</v>
      </c>
      <c r="C28" s="5" t="s">
        <v>24</v>
      </c>
      <c r="D28" s="5" t="s">
        <v>54</v>
      </c>
      <c r="E28" s="16" t="s">
        <v>131</v>
      </c>
      <c r="F28" s="10">
        <v>43182</v>
      </c>
      <c r="G28" s="10">
        <v>43181</v>
      </c>
    </row>
    <row r="29" spans="1:7" hidden="1" x14ac:dyDescent="0.25">
      <c r="A29" s="5">
        <f t="shared" si="1"/>
        <v>27</v>
      </c>
      <c r="B29" s="4" t="s">
        <v>40</v>
      </c>
      <c r="C29" s="5" t="s">
        <v>30</v>
      </c>
      <c r="D29" s="5" t="s">
        <v>54</v>
      </c>
      <c r="E29" s="16" t="s">
        <v>131</v>
      </c>
      <c r="F29" s="10">
        <v>43182</v>
      </c>
      <c r="G29" s="10">
        <v>43181</v>
      </c>
    </row>
    <row r="30" spans="1:7" hidden="1" x14ac:dyDescent="0.25">
      <c r="A30" s="5">
        <f t="shared" si="1"/>
        <v>28</v>
      </c>
      <c r="B30" s="4" t="s">
        <v>42</v>
      </c>
      <c r="C30" s="5" t="s">
        <v>32</v>
      </c>
      <c r="D30" s="5" t="s">
        <v>54</v>
      </c>
      <c r="E30" s="16" t="s">
        <v>131</v>
      </c>
      <c r="F30" s="10">
        <v>43182</v>
      </c>
      <c r="G30" s="10">
        <v>43181</v>
      </c>
    </row>
    <row r="31" spans="1:7" hidden="1" x14ac:dyDescent="0.25">
      <c r="A31" s="5">
        <f t="shared" si="1"/>
        <v>29</v>
      </c>
      <c r="B31" s="4" t="s">
        <v>43</v>
      </c>
      <c r="C31" s="5" t="s">
        <v>41</v>
      </c>
      <c r="D31" s="5" t="s">
        <v>54</v>
      </c>
      <c r="E31" s="16" t="s">
        <v>131</v>
      </c>
      <c r="F31" s="10">
        <v>43182</v>
      </c>
      <c r="G31" s="10">
        <v>43181</v>
      </c>
    </row>
    <row r="32" spans="1:7" hidden="1" x14ac:dyDescent="0.25">
      <c r="A32" s="5">
        <f t="shared" si="1"/>
        <v>30</v>
      </c>
      <c r="B32" s="4" t="s">
        <v>44</v>
      </c>
      <c r="C32" s="5" t="s">
        <v>30</v>
      </c>
      <c r="D32" s="5" t="s">
        <v>54</v>
      </c>
      <c r="E32" s="16" t="s">
        <v>131</v>
      </c>
      <c r="F32" s="10">
        <v>43182</v>
      </c>
      <c r="G32" s="10">
        <v>43181</v>
      </c>
    </row>
    <row r="33" spans="1:8" ht="13.5" hidden="1" customHeight="1" x14ac:dyDescent="0.25">
      <c r="A33" s="5">
        <f t="shared" si="1"/>
        <v>31</v>
      </c>
      <c r="B33" s="4" t="s">
        <v>45</v>
      </c>
      <c r="C33" s="5" t="s">
        <v>24</v>
      </c>
      <c r="D33" s="5" t="s">
        <v>54</v>
      </c>
      <c r="E33" s="16" t="s">
        <v>131</v>
      </c>
      <c r="F33" s="10">
        <v>43182</v>
      </c>
      <c r="G33" s="10">
        <v>43181</v>
      </c>
    </row>
    <row r="34" spans="1:8" hidden="1" x14ac:dyDescent="0.25">
      <c r="A34" s="5">
        <f t="shared" si="1"/>
        <v>32</v>
      </c>
      <c r="B34" s="4" t="s">
        <v>46</v>
      </c>
      <c r="C34" s="5" t="s">
        <v>32</v>
      </c>
      <c r="D34" s="5" t="s">
        <v>54</v>
      </c>
      <c r="E34" s="16" t="s">
        <v>131</v>
      </c>
      <c r="F34" s="10">
        <v>43182</v>
      </c>
      <c r="G34" s="10">
        <v>43181</v>
      </c>
    </row>
    <row r="35" spans="1:8" hidden="1" x14ac:dyDescent="0.25">
      <c r="A35" s="5">
        <f t="shared" si="1"/>
        <v>33</v>
      </c>
      <c r="B35" s="4" t="s">
        <v>47</v>
      </c>
      <c r="C35" s="5" t="s">
        <v>48</v>
      </c>
      <c r="D35" s="5" t="s">
        <v>54</v>
      </c>
      <c r="E35" s="16" t="s">
        <v>131</v>
      </c>
      <c r="F35" s="10">
        <v>43182</v>
      </c>
      <c r="G35" s="10">
        <v>43181</v>
      </c>
    </row>
    <row r="36" spans="1:8" ht="30" hidden="1" x14ac:dyDescent="0.25">
      <c r="A36" s="5">
        <f t="shared" si="1"/>
        <v>34</v>
      </c>
      <c r="B36" s="4" t="s">
        <v>49</v>
      </c>
      <c r="C36" s="5" t="s">
        <v>24</v>
      </c>
      <c r="D36" s="5" t="s">
        <v>54</v>
      </c>
      <c r="E36" s="16" t="s">
        <v>131</v>
      </c>
      <c r="F36" s="10">
        <v>43182</v>
      </c>
      <c r="G36" s="10">
        <v>43181</v>
      </c>
    </row>
    <row r="37" spans="1:8" hidden="1" x14ac:dyDescent="0.25">
      <c r="A37" s="5">
        <f t="shared" si="1"/>
        <v>35</v>
      </c>
      <c r="B37" s="4" t="s">
        <v>50</v>
      </c>
      <c r="C37" s="5" t="s">
        <v>24</v>
      </c>
      <c r="D37" s="5" t="s">
        <v>54</v>
      </c>
      <c r="E37" s="16" t="s">
        <v>131</v>
      </c>
      <c r="F37" s="10">
        <v>43182</v>
      </c>
      <c r="G37" s="10">
        <v>43181</v>
      </c>
    </row>
    <row r="38" spans="1:8" ht="30" hidden="1" x14ac:dyDescent="0.25">
      <c r="A38" s="5">
        <f t="shared" si="1"/>
        <v>36</v>
      </c>
      <c r="B38" s="4" t="s">
        <v>51</v>
      </c>
      <c r="C38" s="5" t="s">
        <v>41</v>
      </c>
      <c r="D38" s="5" t="s">
        <v>54</v>
      </c>
      <c r="E38" s="16" t="s">
        <v>131</v>
      </c>
      <c r="F38" s="10">
        <v>43182</v>
      </c>
      <c r="G38" s="10">
        <v>43181</v>
      </c>
      <c r="H38" s="4" t="s">
        <v>68</v>
      </c>
    </row>
    <row r="39" spans="1:8" hidden="1" x14ac:dyDescent="0.25">
      <c r="A39" s="5">
        <f t="shared" si="1"/>
        <v>37</v>
      </c>
      <c r="B39" s="4" t="s">
        <v>52</v>
      </c>
      <c r="C39" s="5" t="s">
        <v>32</v>
      </c>
      <c r="D39" s="5" t="s">
        <v>54</v>
      </c>
      <c r="E39" s="16" t="s">
        <v>131</v>
      </c>
      <c r="F39" s="10">
        <v>43182</v>
      </c>
      <c r="G39" s="10">
        <v>43181</v>
      </c>
    </row>
    <row r="40" spans="1:8" ht="30" hidden="1" x14ac:dyDescent="0.25">
      <c r="A40" s="5">
        <f t="shared" si="1"/>
        <v>38</v>
      </c>
      <c r="B40" s="4" t="s">
        <v>53</v>
      </c>
      <c r="C40" s="5" t="s">
        <v>24</v>
      </c>
      <c r="D40" s="5" t="s">
        <v>54</v>
      </c>
      <c r="E40" s="16" t="s">
        <v>131</v>
      </c>
      <c r="F40" s="10">
        <v>43182</v>
      </c>
      <c r="G40" s="10">
        <v>43181</v>
      </c>
    </row>
    <row r="41" spans="1:8" ht="30" hidden="1" x14ac:dyDescent="0.25">
      <c r="A41" s="5">
        <f t="shared" si="1"/>
        <v>39</v>
      </c>
      <c r="B41" s="4" t="s">
        <v>55</v>
      </c>
      <c r="C41" s="5" t="s">
        <v>24</v>
      </c>
      <c r="D41" s="5" t="s">
        <v>54</v>
      </c>
      <c r="E41" s="16" t="s">
        <v>131</v>
      </c>
      <c r="F41" s="10">
        <v>43182</v>
      </c>
      <c r="G41" s="10">
        <v>43181</v>
      </c>
    </row>
    <row r="42" spans="1:8" hidden="1" x14ac:dyDescent="0.25">
      <c r="A42" s="5">
        <v>40</v>
      </c>
      <c r="B42" s="4" t="s">
        <v>57</v>
      </c>
      <c r="C42" s="5" t="s">
        <v>24</v>
      </c>
      <c r="D42" s="5" t="s">
        <v>54</v>
      </c>
      <c r="E42" s="16" t="s">
        <v>131</v>
      </c>
      <c r="F42" s="10">
        <v>43182</v>
      </c>
      <c r="G42" s="10">
        <v>43181</v>
      </c>
    </row>
    <row r="43" spans="1:8" hidden="1" x14ac:dyDescent="0.25">
      <c r="A43" s="5">
        <f>IF(B43&lt;&gt;"",A42+1,"")</f>
        <v>41</v>
      </c>
      <c r="B43" s="4" t="s">
        <v>58</v>
      </c>
      <c r="C43" s="5" t="s">
        <v>24</v>
      </c>
      <c r="D43" s="5" t="s">
        <v>54</v>
      </c>
      <c r="E43" s="16" t="s">
        <v>131</v>
      </c>
      <c r="F43" s="10">
        <v>43182</v>
      </c>
      <c r="G43" s="10">
        <v>43181</v>
      </c>
    </row>
    <row r="44" spans="1:8" ht="30" hidden="1" x14ac:dyDescent="0.25">
      <c r="A44" s="5">
        <f>IF(B44&lt;&gt;"",A43+1,"")</f>
        <v>42</v>
      </c>
      <c r="B44" s="4" t="s">
        <v>64</v>
      </c>
      <c r="C44" s="5" t="s">
        <v>24</v>
      </c>
      <c r="D44" s="5" t="s">
        <v>54</v>
      </c>
      <c r="E44" s="16" t="s">
        <v>131</v>
      </c>
      <c r="F44" s="10">
        <v>43183</v>
      </c>
      <c r="G44" s="10">
        <v>43182</v>
      </c>
    </row>
    <row r="45" spans="1:8" ht="60" hidden="1" x14ac:dyDescent="0.25">
      <c r="A45" s="5">
        <f>IF(B45&lt;&gt;"",A44+1,"")</f>
        <v>43</v>
      </c>
      <c r="B45" s="4" t="s">
        <v>65</v>
      </c>
      <c r="C45" s="5" t="s">
        <v>24</v>
      </c>
      <c r="D45" s="5" t="s">
        <v>54</v>
      </c>
      <c r="E45" s="16" t="s">
        <v>131</v>
      </c>
      <c r="F45" s="10">
        <v>43183</v>
      </c>
      <c r="G45" s="10">
        <v>43182</v>
      </c>
    </row>
    <row r="46" spans="1:8" hidden="1" x14ac:dyDescent="0.25">
      <c r="A46" s="5">
        <f>IF(B46&lt;&gt;"",A45+1,"")</f>
        <v>44</v>
      </c>
      <c r="B46" s="4" t="s">
        <v>59</v>
      </c>
      <c r="C46" s="5" t="s">
        <v>32</v>
      </c>
      <c r="D46" s="5" t="s">
        <v>54</v>
      </c>
      <c r="E46" s="16" t="s">
        <v>131</v>
      </c>
      <c r="F46" s="10">
        <v>43183</v>
      </c>
      <c r="G46" s="10">
        <v>43182</v>
      </c>
    </row>
    <row r="47" spans="1:8" hidden="1" x14ac:dyDescent="0.25">
      <c r="A47" s="5">
        <f>IF(B47&lt;&gt;"",A46+1,"")</f>
        <v>45</v>
      </c>
      <c r="B47" s="4" t="s">
        <v>60</v>
      </c>
      <c r="C47" s="5" t="s">
        <v>32</v>
      </c>
      <c r="D47" s="5" t="s">
        <v>85</v>
      </c>
      <c r="E47" s="16" t="s">
        <v>131</v>
      </c>
      <c r="F47" s="10">
        <v>43183</v>
      </c>
      <c r="G47" s="10">
        <v>43182</v>
      </c>
    </row>
    <row r="48" spans="1:8" hidden="1" x14ac:dyDescent="0.25">
      <c r="A48" s="5">
        <v>46</v>
      </c>
      <c r="B48" s="4" t="s">
        <v>63</v>
      </c>
      <c r="C48" s="5" t="s">
        <v>24</v>
      </c>
      <c r="D48" s="5" t="s">
        <v>54</v>
      </c>
      <c r="E48" s="16" t="s">
        <v>131</v>
      </c>
      <c r="F48" s="10">
        <v>43183</v>
      </c>
      <c r="G48" s="10">
        <v>43182</v>
      </c>
    </row>
    <row r="49" spans="1:7" hidden="1" x14ac:dyDescent="0.25">
      <c r="A49" s="5">
        <f t="shared" ref="A49:A56" si="2">IF(B49&lt;&gt;"",A48+1,"")</f>
        <v>47</v>
      </c>
      <c r="B49" s="4" t="s">
        <v>66</v>
      </c>
      <c r="C49" s="5" t="s">
        <v>24</v>
      </c>
      <c r="D49" s="5" t="s">
        <v>54</v>
      </c>
      <c r="E49" s="16" t="s">
        <v>131</v>
      </c>
      <c r="F49" s="10">
        <v>43183</v>
      </c>
      <c r="G49" s="10">
        <v>43182</v>
      </c>
    </row>
    <row r="50" spans="1:7" hidden="1" x14ac:dyDescent="0.25">
      <c r="A50" s="5">
        <f t="shared" si="2"/>
        <v>48</v>
      </c>
      <c r="B50" s="4" t="s">
        <v>75</v>
      </c>
      <c r="C50" s="5" t="s">
        <v>24</v>
      </c>
      <c r="D50" s="5" t="s">
        <v>54</v>
      </c>
      <c r="E50" s="16" t="s">
        <v>131</v>
      </c>
      <c r="F50" s="10">
        <v>43183</v>
      </c>
      <c r="G50" s="10">
        <v>43182</v>
      </c>
    </row>
    <row r="51" spans="1:7" hidden="1" x14ac:dyDescent="0.25">
      <c r="A51" s="5">
        <f t="shared" si="2"/>
        <v>49</v>
      </c>
      <c r="B51" s="4" t="s">
        <v>70</v>
      </c>
      <c r="C51" s="5" t="s">
        <v>24</v>
      </c>
      <c r="D51" s="5" t="s">
        <v>54</v>
      </c>
      <c r="E51" s="16" t="s">
        <v>131</v>
      </c>
      <c r="F51" s="10">
        <v>43183</v>
      </c>
      <c r="G51" s="10">
        <v>43186</v>
      </c>
    </row>
    <row r="52" spans="1:7" ht="30" hidden="1" x14ac:dyDescent="0.25">
      <c r="A52" s="5">
        <f t="shared" si="2"/>
        <v>50</v>
      </c>
      <c r="B52" s="4" t="s">
        <v>71</v>
      </c>
      <c r="C52" s="5" t="s">
        <v>24</v>
      </c>
      <c r="D52" s="5" t="s">
        <v>54</v>
      </c>
      <c r="E52" s="16" t="s">
        <v>131</v>
      </c>
      <c r="F52" s="10">
        <v>43187</v>
      </c>
      <c r="G52" s="10">
        <v>43186</v>
      </c>
    </row>
    <row r="53" spans="1:7" hidden="1" x14ac:dyDescent="0.25">
      <c r="A53" s="5">
        <f t="shared" si="2"/>
        <v>51</v>
      </c>
      <c r="B53" s="4" t="s">
        <v>72</v>
      </c>
      <c r="C53" s="5" t="s">
        <v>41</v>
      </c>
      <c r="D53" s="5" t="s">
        <v>54</v>
      </c>
      <c r="E53" s="16" t="s">
        <v>131</v>
      </c>
      <c r="F53" s="10">
        <v>43187</v>
      </c>
      <c r="G53" s="10">
        <v>43186</v>
      </c>
    </row>
    <row r="54" spans="1:7" hidden="1" x14ac:dyDescent="0.25">
      <c r="A54" s="5">
        <f t="shared" si="2"/>
        <v>52</v>
      </c>
      <c r="B54" s="4" t="s">
        <v>78</v>
      </c>
      <c r="C54" s="5" t="s">
        <v>24</v>
      </c>
      <c r="D54" s="5" t="s">
        <v>54</v>
      </c>
      <c r="E54" s="16" t="s">
        <v>131</v>
      </c>
      <c r="F54" s="10">
        <v>43187</v>
      </c>
      <c r="G54" s="10">
        <v>43186</v>
      </c>
    </row>
    <row r="55" spans="1:7" ht="30" hidden="1" x14ac:dyDescent="0.25">
      <c r="A55" s="5">
        <f t="shared" si="2"/>
        <v>53</v>
      </c>
      <c r="B55" s="4" t="s">
        <v>73</v>
      </c>
      <c r="C55" s="5" t="s">
        <v>24</v>
      </c>
      <c r="D55" s="5" t="s">
        <v>54</v>
      </c>
      <c r="E55" s="16" t="s">
        <v>131</v>
      </c>
      <c r="F55" s="10">
        <v>43187</v>
      </c>
      <c r="G55" s="10">
        <v>43186</v>
      </c>
    </row>
    <row r="56" spans="1:7" hidden="1" x14ac:dyDescent="0.25">
      <c r="A56" s="5">
        <f t="shared" si="2"/>
        <v>54</v>
      </c>
      <c r="B56" s="4" t="s">
        <v>74</v>
      </c>
      <c r="C56" s="5" t="s">
        <v>24</v>
      </c>
      <c r="D56" s="5" t="s">
        <v>54</v>
      </c>
      <c r="E56" s="16" t="s">
        <v>131</v>
      </c>
      <c r="F56" s="10">
        <v>43187</v>
      </c>
      <c r="G56" s="10">
        <v>43186</v>
      </c>
    </row>
    <row r="57" spans="1:7" ht="30" hidden="1" x14ac:dyDescent="0.25">
      <c r="A57" s="5">
        <v>55</v>
      </c>
      <c r="B57" s="4" t="s">
        <v>81</v>
      </c>
      <c r="C57" s="5" t="s">
        <v>24</v>
      </c>
      <c r="D57" s="5" t="s">
        <v>54</v>
      </c>
      <c r="E57" s="16" t="s">
        <v>131</v>
      </c>
      <c r="F57" s="10">
        <v>43187</v>
      </c>
      <c r="G57" s="10">
        <v>43186</v>
      </c>
    </row>
    <row r="58" spans="1:7" ht="15.75" hidden="1" customHeight="1" x14ac:dyDescent="0.25">
      <c r="A58" s="5">
        <f t="shared" ref="A58:A75" si="3">IF(B58&lt;&gt;"",A57+1,"")</f>
        <v>56</v>
      </c>
      <c r="B58" s="4" t="s">
        <v>82</v>
      </c>
      <c r="C58" s="5" t="s">
        <v>41</v>
      </c>
      <c r="D58" s="5" t="s">
        <v>54</v>
      </c>
      <c r="E58" s="16" t="s">
        <v>131</v>
      </c>
      <c r="F58" s="10">
        <v>43187</v>
      </c>
      <c r="G58" s="10">
        <v>43186</v>
      </c>
    </row>
    <row r="59" spans="1:7" hidden="1" x14ac:dyDescent="0.25">
      <c r="A59" s="5">
        <f t="shared" si="3"/>
        <v>57</v>
      </c>
      <c r="B59" s="4" t="s">
        <v>86</v>
      </c>
      <c r="C59" s="5" t="s">
        <v>41</v>
      </c>
      <c r="D59" s="5" t="s">
        <v>54</v>
      </c>
      <c r="E59" s="16" t="s">
        <v>131</v>
      </c>
      <c r="F59" s="10">
        <v>43187</v>
      </c>
      <c r="G59" s="10">
        <v>43186</v>
      </c>
    </row>
    <row r="60" spans="1:7" hidden="1" x14ac:dyDescent="0.25">
      <c r="A60" s="5">
        <f t="shared" si="3"/>
        <v>58</v>
      </c>
      <c r="B60" s="4" t="s">
        <v>76</v>
      </c>
      <c r="C60" s="5" t="s">
        <v>24</v>
      </c>
      <c r="D60" s="5" t="s">
        <v>54</v>
      </c>
      <c r="E60" s="16" t="s">
        <v>131</v>
      </c>
      <c r="F60" s="10">
        <v>43187</v>
      </c>
      <c r="G60" s="10">
        <v>43186</v>
      </c>
    </row>
    <row r="61" spans="1:7" hidden="1" x14ac:dyDescent="0.25">
      <c r="A61" s="5">
        <f t="shared" si="3"/>
        <v>59</v>
      </c>
      <c r="B61" s="4" t="s">
        <v>77</v>
      </c>
      <c r="C61" s="5" t="s">
        <v>24</v>
      </c>
      <c r="D61" s="5" t="s">
        <v>54</v>
      </c>
      <c r="E61" s="16" t="s">
        <v>131</v>
      </c>
      <c r="F61" s="10">
        <v>43187</v>
      </c>
      <c r="G61" s="10">
        <v>43186</v>
      </c>
    </row>
    <row r="62" spans="1:7" hidden="1" x14ac:dyDescent="0.25">
      <c r="A62" s="5">
        <f t="shared" si="3"/>
        <v>60</v>
      </c>
      <c r="B62" s="4" t="s">
        <v>80</v>
      </c>
      <c r="C62" s="5" t="s">
        <v>24</v>
      </c>
      <c r="D62" s="5" t="s">
        <v>54</v>
      </c>
      <c r="E62" s="16" t="s">
        <v>131</v>
      </c>
      <c r="F62" s="10">
        <v>43187</v>
      </c>
      <c r="G62" s="10">
        <v>43187</v>
      </c>
    </row>
    <row r="63" spans="1:7" hidden="1" x14ac:dyDescent="0.25">
      <c r="A63" s="5">
        <f t="shared" si="3"/>
        <v>61</v>
      </c>
      <c r="B63" s="4" t="s">
        <v>83</v>
      </c>
      <c r="C63" s="5" t="s">
        <v>24</v>
      </c>
      <c r="D63" s="5" t="s">
        <v>54</v>
      </c>
      <c r="E63" s="16" t="s">
        <v>131</v>
      </c>
      <c r="F63" s="10">
        <v>43187</v>
      </c>
      <c r="G63" s="10">
        <v>43187</v>
      </c>
    </row>
    <row r="64" spans="1:7" hidden="1" x14ac:dyDescent="0.25">
      <c r="A64" s="5">
        <f t="shared" si="3"/>
        <v>62</v>
      </c>
      <c r="B64" s="4" t="s">
        <v>87</v>
      </c>
      <c r="C64" s="5" t="s">
        <v>24</v>
      </c>
      <c r="D64" s="5" t="s">
        <v>54</v>
      </c>
      <c r="E64" s="16" t="s">
        <v>131</v>
      </c>
      <c r="F64" s="10">
        <v>43187</v>
      </c>
      <c r="G64" s="10">
        <v>43187</v>
      </c>
    </row>
    <row r="65" spans="1:7" hidden="1" x14ac:dyDescent="0.25">
      <c r="A65" s="5">
        <f t="shared" si="3"/>
        <v>63</v>
      </c>
      <c r="B65" s="4" t="s">
        <v>84</v>
      </c>
      <c r="C65" s="5" t="s">
        <v>32</v>
      </c>
      <c r="D65" s="5" t="s">
        <v>54</v>
      </c>
      <c r="E65" s="16" t="s">
        <v>131</v>
      </c>
      <c r="F65" s="10">
        <v>43187</v>
      </c>
      <c r="G65" s="10">
        <v>43187</v>
      </c>
    </row>
    <row r="66" spans="1:7" hidden="1" x14ac:dyDescent="0.25">
      <c r="A66" s="5">
        <f t="shared" si="3"/>
        <v>64</v>
      </c>
      <c r="B66" s="4" t="s">
        <v>88</v>
      </c>
      <c r="C66" s="5" t="s">
        <v>24</v>
      </c>
      <c r="D66" s="5" t="s">
        <v>54</v>
      </c>
      <c r="E66" s="16" t="s">
        <v>131</v>
      </c>
      <c r="F66" s="10">
        <v>43187</v>
      </c>
      <c r="G66" s="10">
        <v>43187</v>
      </c>
    </row>
    <row r="67" spans="1:7" hidden="1" x14ac:dyDescent="0.25">
      <c r="A67" s="5">
        <f t="shared" si="3"/>
        <v>65</v>
      </c>
      <c r="B67" s="4" t="s">
        <v>90</v>
      </c>
      <c r="C67" s="5" t="s">
        <v>24</v>
      </c>
      <c r="D67" s="5" t="s">
        <v>54</v>
      </c>
      <c r="E67" s="16" t="s">
        <v>131</v>
      </c>
      <c r="F67" s="10">
        <v>43187</v>
      </c>
      <c r="G67" s="10">
        <v>43187</v>
      </c>
    </row>
    <row r="68" spans="1:7" hidden="1" x14ac:dyDescent="0.25">
      <c r="A68" s="5">
        <f t="shared" si="3"/>
        <v>66</v>
      </c>
      <c r="B68" s="4" t="s">
        <v>89</v>
      </c>
      <c r="C68" s="5" t="s">
        <v>24</v>
      </c>
      <c r="D68" s="5" t="s">
        <v>54</v>
      </c>
      <c r="E68" s="16" t="s">
        <v>131</v>
      </c>
      <c r="F68" s="10">
        <v>43187</v>
      </c>
      <c r="G68" s="10">
        <v>43187</v>
      </c>
    </row>
    <row r="69" spans="1:7" hidden="1" x14ac:dyDescent="0.25">
      <c r="A69" s="5">
        <f t="shared" si="3"/>
        <v>67</v>
      </c>
      <c r="B69" s="4" t="s">
        <v>107</v>
      </c>
      <c r="C69" s="5" t="s">
        <v>24</v>
      </c>
      <c r="D69" s="5" t="s">
        <v>54</v>
      </c>
      <c r="E69" s="16" t="s">
        <v>131</v>
      </c>
      <c r="F69" s="10">
        <v>43187</v>
      </c>
      <c r="G69" s="10">
        <v>43187</v>
      </c>
    </row>
    <row r="70" spans="1:7" hidden="1" x14ac:dyDescent="0.25">
      <c r="A70" s="5">
        <f t="shared" si="3"/>
        <v>68</v>
      </c>
      <c r="B70" s="4" t="s">
        <v>124</v>
      </c>
      <c r="C70" s="5" t="s">
        <v>24</v>
      </c>
      <c r="D70" s="5" t="s">
        <v>54</v>
      </c>
      <c r="E70" s="16" t="s">
        <v>131</v>
      </c>
      <c r="F70" s="10">
        <v>43189</v>
      </c>
      <c r="G70" s="10">
        <v>43189</v>
      </c>
    </row>
    <row r="71" spans="1:7" hidden="1" x14ac:dyDescent="0.25">
      <c r="A71" s="5">
        <f t="shared" si="3"/>
        <v>69</v>
      </c>
      <c r="B71" s="4" t="s">
        <v>91</v>
      </c>
      <c r="C71" s="5" t="s">
        <v>24</v>
      </c>
      <c r="D71" s="5" t="s">
        <v>54</v>
      </c>
      <c r="E71" s="16" t="s">
        <v>131</v>
      </c>
      <c r="F71" s="10">
        <v>43189</v>
      </c>
      <c r="G71" s="10">
        <v>43189</v>
      </c>
    </row>
    <row r="72" spans="1:7" hidden="1" x14ac:dyDescent="0.25">
      <c r="A72" s="5">
        <f t="shared" si="3"/>
        <v>70</v>
      </c>
      <c r="B72" s="4" t="s">
        <v>92</v>
      </c>
      <c r="C72" s="5" t="s">
        <v>24</v>
      </c>
      <c r="D72" s="5" t="s">
        <v>54</v>
      </c>
      <c r="E72" s="16" t="s">
        <v>131</v>
      </c>
      <c r="F72" s="10">
        <v>43189</v>
      </c>
      <c r="G72" s="10">
        <v>43189</v>
      </c>
    </row>
    <row r="73" spans="1:7" hidden="1" x14ac:dyDescent="0.25">
      <c r="A73" s="5">
        <f t="shared" si="3"/>
        <v>71</v>
      </c>
      <c r="B73" s="4" t="s">
        <v>93</v>
      </c>
      <c r="C73" s="5" t="s">
        <v>24</v>
      </c>
      <c r="D73" s="5" t="s">
        <v>54</v>
      </c>
      <c r="E73" s="16" t="s">
        <v>131</v>
      </c>
      <c r="F73" s="10">
        <v>43189</v>
      </c>
      <c r="G73" s="10">
        <v>43189</v>
      </c>
    </row>
    <row r="74" spans="1:7" ht="30" hidden="1" x14ac:dyDescent="0.25">
      <c r="A74" s="5">
        <f t="shared" si="3"/>
        <v>72</v>
      </c>
      <c r="B74" s="4" t="s">
        <v>94</v>
      </c>
      <c r="C74" s="5" t="s">
        <v>24</v>
      </c>
      <c r="D74" s="5" t="s">
        <v>54</v>
      </c>
      <c r="E74" s="16" t="s">
        <v>131</v>
      </c>
      <c r="F74" s="10">
        <v>43189</v>
      </c>
      <c r="G74" s="10">
        <v>43189</v>
      </c>
    </row>
    <row r="75" spans="1:7" hidden="1" x14ac:dyDescent="0.25">
      <c r="A75" s="5">
        <f t="shared" si="3"/>
        <v>73</v>
      </c>
      <c r="B75" s="4" t="s">
        <v>109</v>
      </c>
      <c r="C75" s="5" t="s">
        <v>24</v>
      </c>
      <c r="D75" s="5" t="s">
        <v>54</v>
      </c>
      <c r="E75" s="16" t="s">
        <v>131</v>
      </c>
      <c r="F75" s="10">
        <v>43189</v>
      </c>
      <c r="G75" s="10">
        <v>43189</v>
      </c>
    </row>
    <row r="76" spans="1:7" hidden="1" x14ac:dyDescent="0.25">
      <c r="A76" s="5">
        <f t="shared" ref="A76:A140" si="4">IF(B76&lt;&gt;"",A75+1,"")</f>
        <v>74</v>
      </c>
      <c r="B76" s="4" t="s">
        <v>95</v>
      </c>
      <c r="C76" s="5" t="s">
        <v>24</v>
      </c>
      <c r="D76" s="5" t="s">
        <v>54</v>
      </c>
      <c r="E76" s="16" t="s">
        <v>131</v>
      </c>
      <c r="F76" s="10">
        <v>43189</v>
      </c>
      <c r="G76" s="10">
        <v>43189</v>
      </c>
    </row>
    <row r="77" spans="1:7" hidden="1" x14ac:dyDescent="0.25">
      <c r="A77" s="5">
        <f t="shared" si="4"/>
        <v>75</v>
      </c>
      <c r="B77" s="4" t="s">
        <v>110</v>
      </c>
      <c r="C77" s="5" t="s">
        <v>24</v>
      </c>
      <c r="D77" s="5" t="s">
        <v>54</v>
      </c>
      <c r="E77" s="16" t="s">
        <v>131</v>
      </c>
      <c r="F77" s="10">
        <v>43189</v>
      </c>
      <c r="G77" s="10">
        <v>43189</v>
      </c>
    </row>
    <row r="78" spans="1:7" hidden="1" x14ac:dyDescent="0.25">
      <c r="A78" s="5">
        <f t="shared" si="4"/>
        <v>76</v>
      </c>
      <c r="B78" s="4" t="s">
        <v>96</v>
      </c>
      <c r="C78" s="5" t="s">
        <v>24</v>
      </c>
      <c r="D78" s="5" t="s">
        <v>54</v>
      </c>
      <c r="E78" s="16" t="s">
        <v>131</v>
      </c>
      <c r="F78" s="10">
        <v>43189</v>
      </c>
      <c r="G78" s="10">
        <v>43189</v>
      </c>
    </row>
    <row r="79" spans="1:7" hidden="1" x14ac:dyDescent="0.25">
      <c r="A79" s="5">
        <f t="shared" si="4"/>
        <v>77</v>
      </c>
      <c r="B79" s="4" t="s">
        <v>106</v>
      </c>
      <c r="C79" s="5" t="s">
        <v>24</v>
      </c>
      <c r="D79" s="5" t="s">
        <v>54</v>
      </c>
      <c r="E79" s="16" t="s">
        <v>131</v>
      </c>
      <c r="F79" s="10">
        <v>43189</v>
      </c>
      <c r="G79" s="10">
        <v>43189</v>
      </c>
    </row>
    <row r="80" spans="1:7" hidden="1" x14ac:dyDescent="0.25">
      <c r="A80" s="5">
        <f t="shared" si="4"/>
        <v>78</v>
      </c>
      <c r="B80" s="4" t="s">
        <v>97</v>
      </c>
      <c r="C80" s="5" t="s">
        <v>24</v>
      </c>
      <c r="D80" s="5" t="s">
        <v>54</v>
      </c>
      <c r="E80" s="16" t="s">
        <v>131</v>
      </c>
      <c r="F80" s="10">
        <v>43189</v>
      </c>
      <c r="G80" s="10">
        <v>43189</v>
      </c>
    </row>
    <row r="81" spans="1:7" hidden="1" x14ac:dyDescent="0.25">
      <c r="A81" s="5">
        <f t="shared" si="4"/>
        <v>79</v>
      </c>
      <c r="B81" s="4" t="s">
        <v>98</v>
      </c>
      <c r="C81" s="5" t="s">
        <v>24</v>
      </c>
      <c r="D81" s="5" t="s">
        <v>54</v>
      </c>
      <c r="E81" s="16" t="s">
        <v>131</v>
      </c>
      <c r="F81" s="10">
        <v>43189</v>
      </c>
      <c r="G81" s="10">
        <v>43189</v>
      </c>
    </row>
    <row r="82" spans="1:7" hidden="1" x14ac:dyDescent="0.25">
      <c r="A82" s="5">
        <f t="shared" si="4"/>
        <v>80</v>
      </c>
      <c r="B82" s="4" t="s">
        <v>99</v>
      </c>
      <c r="C82" s="5" t="s">
        <v>24</v>
      </c>
      <c r="D82" s="5" t="s">
        <v>54</v>
      </c>
      <c r="E82" s="16" t="s">
        <v>131</v>
      </c>
      <c r="F82" s="10">
        <v>43189</v>
      </c>
      <c r="G82" s="10">
        <v>43189</v>
      </c>
    </row>
    <row r="83" spans="1:7" hidden="1" x14ac:dyDescent="0.25">
      <c r="A83" s="5">
        <f t="shared" si="4"/>
        <v>81</v>
      </c>
      <c r="B83" s="4" t="s">
        <v>100</v>
      </c>
      <c r="C83" s="5" t="s">
        <v>24</v>
      </c>
      <c r="D83" s="5" t="s">
        <v>54</v>
      </c>
      <c r="E83" s="16" t="s">
        <v>131</v>
      </c>
      <c r="F83" s="10">
        <v>43189</v>
      </c>
      <c r="G83" s="10">
        <v>43189</v>
      </c>
    </row>
    <row r="84" spans="1:7" hidden="1" x14ac:dyDescent="0.25">
      <c r="A84" s="5">
        <f t="shared" si="4"/>
        <v>82</v>
      </c>
      <c r="B84" s="4" t="s">
        <v>104</v>
      </c>
      <c r="C84" s="5" t="s">
        <v>24</v>
      </c>
      <c r="D84" s="5" t="s">
        <v>54</v>
      </c>
      <c r="E84" s="16" t="s">
        <v>131</v>
      </c>
      <c r="F84" s="10">
        <v>43189</v>
      </c>
      <c r="G84" s="10">
        <v>43189</v>
      </c>
    </row>
    <row r="85" spans="1:7" ht="30" hidden="1" x14ac:dyDescent="0.25">
      <c r="A85" s="5">
        <f t="shared" si="4"/>
        <v>83</v>
      </c>
      <c r="B85" s="4" t="s">
        <v>113</v>
      </c>
      <c r="C85" s="5" t="s">
        <v>24</v>
      </c>
      <c r="D85" s="5" t="s">
        <v>54</v>
      </c>
      <c r="E85" s="16" t="s">
        <v>131</v>
      </c>
      <c r="F85" s="10">
        <v>43135</v>
      </c>
      <c r="G85" s="10">
        <v>43135</v>
      </c>
    </row>
    <row r="86" spans="1:7" hidden="1" x14ac:dyDescent="0.25">
      <c r="A86" s="5">
        <f t="shared" si="4"/>
        <v>84</v>
      </c>
      <c r="B86" s="4" t="s">
        <v>108</v>
      </c>
      <c r="C86" s="5" t="s">
        <v>24</v>
      </c>
      <c r="D86" s="5" t="s">
        <v>54</v>
      </c>
      <c r="E86" s="16" t="s">
        <v>131</v>
      </c>
      <c r="F86" s="10">
        <v>43135</v>
      </c>
      <c r="G86" s="10">
        <v>43135</v>
      </c>
    </row>
    <row r="87" spans="1:7" hidden="1" x14ac:dyDescent="0.25">
      <c r="A87" s="5">
        <f t="shared" si="4"/>
        <v>85</v>
      </c>
      <c r="B87" s="4" t="s">
        <v>111</v>
      </c>
      <c r="C87" s="5" t="s">
        <v>24</v>
      </c>
      <c r="D87" s="5" t="s">
        <v>54</v>
      </c>
      <c r="E87" s="16" t="s">
        <v>131</v>
      </c>
      <c r="F87" s="10">
        <v>43135</v>
      </c>
      <c r="G87" s="10">
        <v>43135</v>
      </c>
    </row>
    <row r="88" spans="1:7" hidden="1" x14ac:dyDescent="0.25">
      <c r="A88" s="5">
        <f t="shared" si="4"/>
        <v>86</v>
      </c>
      <c r="B88" s="4" t="s">
        <v>112</v>
      </c>
      <c r="C88" s="5" t="s">
        <v>24</v>
      </c>
      <c r="D88" s="5" t="s">
        <v>85</v>
      </c>
      <c r="E88" s="16" t="s">
        <v>131</v>
      </c>
      <c r="F88" s="10">
        <v>43135</v>
      </c>
      <c r="G88" s="10">
        <v>43135</v>
      </c>
    </row>
    <row r="89" spans="1:7" hidden="1" x14ac:dyDescent="0.25">
      <c r="A89" s="5">
        <f t="shared" si="4"/>
        <v>87</v>
      </c>
      <c r="B89" s="4" t="s">
        <v>114</v>
      </c>
      <c r="C89" s="5" t="s">
        <v>24</v>
      </c>
      <c r="D89" s="5" t="s">
        <v>54</v>
      </c>
      <c r="E89" s="16" t="s">
        <v>131</v>
      </c>
      <c r="F89" s="10">
        <v>43135</v>
      </c>
      <c r="G89" s="10">
        <v>43135</v>
      </c>
    </row>
    <row r="90" spans="1:7" hidden="1" x14ac:dyDescent="0.25">
      <c r="A90" s="5">
        <f t="shared" si="4"/>
        <v>88</v>
      </c>
      <c r="B90" s="4" t="s">
        <v>115</v>
      </c>
      <c r="C90" s="5" t="s">
        <v>24</v>
      </c>
      <c r="D90" s="5" t="s">
        <v>54</v>
      </c>
      <c r="E90" s="16" t="s">
        <v>131</v>
      </c>
      <c r="F90" s="10">
        <v>43135</v>
      </c>
      <c r="G90" s="10">
        <v>43135</v>
      </c>
    </row>
    <row r="91" spans="1:7" hidden="1" x14ac:dyDescent="0.25">
      <c r="A91" s="5">
        <f t="shared" si="4"/>
        <v>89</v>
      </c>
      <c r="B91" s="4" t="s">
        <v>119</v>
      </c>
      <c r="C91" s="5" t="s">
        <v>24</v>
      </c>
      <c r="D91" s="5" t="s">
        <v>54</v>
      </c>
      <c r="E91" s="16" t="s">
        <v>131</v>
      </c>
      <c r="F91" s="10">
        <v>43194</v>
      </c>
      <c r="G91" s="10">
        <v>43194</v>
      </c>
    </row>
    <row r="92" spans="1:7" hidden="1" x14ac:dyDescent="0.25">
      <c r="A92" s="5">
        <f t="shared" si="4"/>
        <v>90</v>
      </c>
      <c r="B92" s="4" t="s">
        <v>120</v>
      </c>
      <c r="C92" s="5" t="s">
        <v>24</v>
      </c>
      <c r="D92" s="5" t="s">
        <v>54</v>
      </c>
      <c r="E92" s="16" t="s">
        <v>131</v>
      </c>
      <c r="F92" s="10">
        <v>43194</v>
      </c>
      <c r="G92" s="10">
        <v>43194</v>
      </c>
    </row>
    <row r="93" spans="1:7" ht="18.75" hidden="1" customHeight="1" x14ac:dyDescent="0.25">
      <c r="A93" s="5">
        <f t="shared" si="4"/>
        <v>91</v>
      </c>
      <c r="B93" s="4" t="s">
        <v>121</v>
      </c>
      <c r="C93" s="5" t="s">
        <v>24</v>
      </c>
      <c r="D93" s="5" t="s">
        <v>54</v>
      </c>
      <c r="E93" s="16" t="s">
        <v>131</v>
      </c>
      <c r="F93" s="10">
        <v>43194</v>
      </c>
      <c r="G93" s="10">
        <v>43194</v>
      </c>
    </row>
    <row r="94" spans="1:7" hidden="1" x14ac:dyDescent="0.25">
      <c r="A94" s="5">
        <f t="shared" si="4"/>
        <v>92</v>
      </c>
      <c r="B94" s="4" t="s">
        <v>122</v>
      </c>
      <c r="C94" s="5" t="s">
        <v>24</v>
      </c>
      <c r="D94" s="5" t="s">
        <v>54</v>
      </c>
      <c r="E94" s="16" t="s">
        <v>131</v>
      </c>
      <c r="F94" s="10">
        <v>43194</v>
      </c>
      <c r="G94" s="10">
        <v>43194</v>
      </c>
    </row>
    <row r="95" spans="1:7" hidden="1" x14ac:dyDescent="0.25">
      <c r="A95" s="5">
        <f t="shared" si="4"/>
        <v>93</v>
      </c>
      <c r="B95" s="4" t="s">
        <v>123</v>
      </c>
      <c r="C95" s="5" t="s">
        <v>24</v>
      </c>
      <c r="D95" s="5" t="s">
        <v>54</v>
      </c>
      <c r="E95" s="16" t="s">
        <v>131</v>
      </c>
      <c r="F95" s="10">
        <v>43194</v>
      </c>
      <c r="G95" s="10">
        <v>43194</v>
      </c>
    </row>
    <row r="96" spans="1:7" hidden="1" x14ac:dyDescent="0.25">
      <c r="A96" s="5">
        <f t="shared" si="4"/>
        <v>94</v>
      </c>
      <c r="B96" s="4" t="s">
        <v>125</v>
      </c>
      <c r="C96" s="5" t="s">
        <v>24</v>
      </c>
      <c r="D96" s="5" t="s">
        <v>54</v>
      </c>
      <c r="E96" s="16" t="s">
        <v>131</v>
      </c>
    </row>
    <row r="97" spans="1:7" hidden="1" x14ac:dyDescent="0.25">
      <c r="A97" s="5">
        <f t="shared" si="4"/>
        <v>95</v>
      </c>
      <c r="B97" s="4" t="s">
        <v>126</v>
      </c>
      <c r="C97" s="5" t="s">
        <v>24</v>
      </c>
      <c r="D97" s="5" t="s">
        <v>54</v>
      </c>
      <c r="E97" s="16" t="s">
        <v>131</v>
      </c>
      <c r="F97" s="10">
        <v>43195</v>
      </c>
      <c r="G97" s="10">
        <v>43195</v>
      </c>
    </row>
    <row r="98" spans="1:7" ht="30" hidden="1" x14ac:dyDescent="0.25">
      <c r="A98" s="5">
        <f t="shared" si="4"/>
        <v>96</v>
      </c>
      <c r="B98" s="4" t="s">
        <v>127</v>
      </c>
      <c r="D98" s="5" t="s">
        <v>85</v>
      </c>
      <c r="E98" s="16" t="s">
        <v>130</v>
      </c>
      <c r="F98" s="10">
        <v>43195</v>
      </c>
      <c r="G98" s="10">
        <v>43195</v>
      </c>
    </row>
    <row r="99" spans="1:7" ht="30" hidden="1" x14ac:dyDescent="0.25">
      <c r="A99" s="5">
        <f t="shared" si="4"/>
        <v>97</v>
      </c>
      <c r="B99" s="4" t="s">
        <v>128</v>
      </c>
      <c r="D99" s="5" t="s">
        <v>85</v>
      </c>
      <c r="E99" s="16" t="s">
        <v>130</v>
      </c>
      <c r="F99" s="10">
        <v>43195</v>
      </c>
      <c r="G99" s="10">
        <v>43195</v>
      </c>
    </row>
    <row r="100" spans="1:7" hidden="1" x14ac:dyDescent="0.25">
      <c r="A100" s="5">
        <f t="shared" si="4"/>
        <v>98</v>
      </c>
      <c r="B100" s="4" t="s">
        <v>143</v>
      </c>
      <c r="C100" s="5" t="s">
        <v>24</v>
      </c>
      <c r="D100" s="5" t="s">
        <v>54</v>
      </c>
      <c r="E100" s="16" t="s">
        <v>131</v>
      </c>
      <c r="F100" s="10">
        <v>43195</v>
      </c>
      <c r="G100" s="10">
        <v>43195</v>
      </c>
    </row>
    <row r="101" spans="1:7" hidden="1" x14ac:dyDescent="0.25">
      <c r="A101" s="5">
        <f t="shared" si="4"/>
        <v>99</v>
      </c>
      <c r="B101" s="4" t="s">
        <v>147</v>
      </c>
      <c r="C101" s="5" t="s">
        <v>48</v>
      </c>
      <c r="D101" s="5" t="s">
        <v>54</v>
      </c>
      <c r="E101" s="16" t="s">
        <v>131</v>
      </c>
      <c r="F101" s="10">
        <v>43195</v>
      </c>
      <c r="G101" s="10">
        <v>43195</v>
      </c>
    </row>
    <row r="102" spans="1:7" hidden="1" x14ac:dyDescent="0.25">
      <c r="A102" s="5">
        <f t="shared" si="4"/>
        <v>100</v>
      </c>
      <c r="B102" s="4" t="s">
        <v>197</v>
      </c>
      <c r="C102" s="5" t="s">
        <v>30</v>
      </c>
      <c r="D102" s="5" t="s">
        <v>54</v>
      </c>
      <c r="E102" s="16" t="s">
        <v>131</v>
      </c>
      <c r="F102" s="10">
        <v>43255</v>
      </c>
      <c r="G102" s="10">
        <v>43255</v>
      </c>
    </row>
    <row r="103" spans="1:7" hidden="1" x14ac:dyDescent="0.25">
      <c r="A103" s="5">
        <f t="shared" si="4"/>
        <v>101</v>
      </c>
      <c r="B103" s="4" t="s">
        <v>145</v>
      </c>
      <c r="C103" s="5" t="s">
        <v>24</v>
      </c>
      <c r="D103" s="5" t="s">
        <v>85</v>
      </c>
      <c r="E103" s="16" t="s">
        <v>131</v>
      </c>
      <c r="F103" s="10">
        <v>43285</v>
      </c>
      <c r="G103" s="10">
        <v>43285</v>
      </c>
    </row>
    <row r="104" spans="1:7" hidden="1" x14ac:dyDescent="0.25">
      <c r="A104" s="5">
        <f t="shared" si="4"/>
        <v>102</v>
      </c>
      <c r="B104" s="4" t="s">
        <v>144</v>
      </c>
      <c r="C104" s="5" t="s">
        <v>30</v>
      </c>
      <c r="D104" s="5" t="s">
        <v>54</v>
      </c>
      <c r="F104" s="10">
        <v>43285</v>
      </c>
      <c r="G104" s="10">
        <v>43285</v>
      </c>
    </row>
    <row r="105" spans="1:7" hidden="1" x14ac:dyDescent="0.25">
      <c r="A105" s="5">
        <f t="shared" si="4"/>
        <v>103</v>
      </c>
      <c r="B105" s="4" t="s">
        <v>146</v>
      </c>
      <c r="C105" s="5" t="s">
        <v>24</v>
      </c>
      <c r="D105" s="5" t="s">
        <v>54</v>
      </c>
      <c r="F105" s="10">
        <v>43285</v>
      </c>
      <c r="G105" s="10">
        <v>43285</v>
      </c>
    </row>
    <row r="106" spans="1:7" ht="30" hidden="1" x14ac:dyDescent="0.25">
      <c r="A106" s="5">
        <f t="shared" si="4"/>
        <v>104</v>
      </c>
      <c r="B106" s="4" t="s">
        <v>148</v>
      </c>
      <c r="C106" s="5" t="s">
        <v>24</v>
      </c>
      <c r="D106" s="5" t="s">
        <v>54</v>
      </c>
      <c r="F106" s="10">
        <v>43285</v>
      </c>
      <c r="G106" s="10">
        <v>43285</v>
      </c>
    </row>
    <row r="107" spans="1:7" ht="30" hidden="1" x14ac:dyDescent="0.25">
      <c r="A107" s="5">
        <f t="shared" si="4"/>
        <v>105</v>
      </c>
      <c r="B107" s="4" t="s">
        <v>157</v>
      </c>
      <c r="C107" s="5" t="s">
        <v>30</v>
      </c>
      <c r="D107" s="5" t="s">
        <v>54</v>
      </c>
      <c r="F107" s="10">
        <v>43285</v>
      </c>
      <c r="G107" s="10">
        <v>43285</v>
      </c>
    </row>
    <row r="108" spans="1:7" ht="30" hidden="1" x14ac:dyDescent="0.25">
      <c r="A108" s="5">
        <f t="shared" si="4"/>
        <v>106</v>
      </c>
      <c r="B108" s="4" t="s">
        <v>159</v>
      </c>
      <c r="C108" s="5" t="s">
        <v>41</v>
      </c>
      <c r="D108" s="5" t="s">
        <v>54</v>
      </c>
      <c r="E108" s="26" t="s">
        <v>165</v>
      </c>
      <c r="F108" s="10">
        <v>43285</v>
      </c>
      <c r="G108" s="10">
        <v>43285</v>
      </c>
    </row>
    <row r="109" spans="1:7" ht="60" hidden="1" x14ac:dyDescent="0.25">
      <c r="A109" s="5">
        <f t="shared" si="4"/>
        <v>107</v>
      </c>
      <c r="B109" s="4" t="s">
        <v>160</v>
      </c>
      <c r="C109" s="5" t="s">
        <v>41</v>
      </c>
      <c r="D109" s="5" t="s">
        <v>54</v>
      </c>
      <c r="E109" s="27"/>
      <c r="F109" s="10">
        <v>43285</v>
      </c>
      <c r="G109" s="10">
        <v>43285</v>
      </c>
    </row>
    <row r="110" spans="1:7" hidden="1" x14ac:dyDescent="0.25">
      <c r="A110" s="5">
        <f t="shared" si="4"/>
        <v>108</v>
      </c>
      <c r="B110" s="4" t="s">
        <v>161</v>
      </c>
      <c r="C110" s="5" t="s">
        <v>41</v>
      </c>
      <c r="D110" s="5" t="s">
        <v>54</v>
      </c>
      <c r="F110" s="10">
        <v>43285</v>
      </c>
      <c r="G110" s="10">
        <v>43285</v>
      </c>
    </row>
    <row r="111" spans="1:7" hidden="1" x14ac:dyDescent="0.25">
      <c r="A111" s="5">
        <f t="shared" si="4"/>
        <v>109</v>
      </c>
      <c r="B111" s="4" t="s">
        <v>162</v>
      </c>
      <c r="C111" s="5" t="s">
        <v>41</v>
      </c>
      <c r="D111" s="5" t="s">
        <v>54</v>
      </c>
      <c r="E111" s="26" t="s">
        <v>165</v>
      </c>
      <c r="F111" s="10">
        <v>43285</v>
      </c>
      <c r="G111" s="10">
        <v>43285</v>
      </c>
    </row>
    <row r="112" spans="1:7" hidden="1" x14ac:dyDescent="0.25">
      <c r="A112" s="5">
        <f t="shared" si="4"/>
        <v>110</v>
      </c>
      <c r="B112" s="4" t="s">
        <v>163</v>
      </c>
      <c r="C112" s="5" t="s">
        <v>41</v>
      </c>
      <c r="D112" s="5" t="s">
        <v>54</v>
      </c>
      <c r="E112" s="26" t="s">
        <v>165</v>
      </c>
      <c r="F112" s="10">
        <v>43285</v>
      </c>
      <c r="G112" s="10">
        <v>43285</v>
      </c>
    </row>
    <row r="113" spans="1:7" hidden="1" x14ac:dyDescent="0.25">
      <c r="A113" s="5">
        <f t="shared" si="4"/>
        <v>111</v>
      </c>
      <c r="B113" s="4" t="s">
        <v>164</v>
      </c>
      <c r="C113" s="5" t="s">
        <v>41</v>
      </c>
      <c r="D113" s="5" t="s">
        <v>54</v>
      </c>
      <c r="E113" s="26" t="s">
        <v>165</v>
      </c>
      <c r="F113" s="10">
        <v>43285</v>
      </c>
      <c r="G113" s="10">
        <v>43285</v>
      </c>
    </row>
    <row r="114" spans="1:7" hidden="1" x14ac:dyDescent="0.25">
      <c r="A114" s="5">
        <f t="shared" si="4"/>
        <v>112</v>
      </c>
      <c r="B114" s="4" t="s">
        <v>166</v>
      </c>
      <c r="C114" s="5" t="s">
        <v>41</v>
      </c>
      <c r="D114" s="5" t="s">
        <v>54</v>
      </c>
      <c r="E114" s="26" t="s">
        <v>165</v>
      </c>
      <c r="F114" s="10">
        <v>43285</v>
      </c>
      <c r="G114" s="10">
        <v>43285</v>
      </c>
    </row>
    <row r="115" spans="1:7" hidden="1" x14ac:dyDescent="0.25">
      <c r="A115" s="5">
        <f t="shared" si="4"/>
        <v>113</v>
      </c>
      <c r="B115" s="4" t="s">
        <v>167</v>
      </c>
      <c r="C115" s="5" t="s">
        <v>41</v>
      </c>
      <c r="D115" s="5" t="s">
        <v>54</v>
      </c>
      <c r="E115" s="26" t="s">
        <v>165</v>
      </c>
      <c r="F115" s="10">
        <v>43285</v>
      </c>
      <c r="G115" s="10">
        <v>43285</v>
      </c>
    </row>
    <row r="116" spans="1:7" hidden="1" x14ac:dyDescent="0.25">
      <c r="A116" s="5">
        <f t="shared" si="4"/>
        <v>114</v>
      </c>
      <c r="B116" s="4" t="s">
        <v>168</v>
      </c>
      <c r="C116" s="5" t="s">
        <v>41</v>
      </c>
      <c r="D116" s="5" t="s">
        <v>54</v>
      </c>
      <c r="E116" s="26" t="s">
        <v>165</v>
      </c>
      <c r="F116" s="10">
        <v>43285</v>
      </c>
      <c r="G116" s="10">
        <v>43285</v>
      </c>
    </row>
    <row r="117" spans="1:7" hidden="1" x14ac:dyDescent="0.25">
      <c r="A117" s="5">
        <f t="shared" si="4"/>
        <v>115</v>
      </c>
      <c r="B117" s="4" t="s">
        <v>169</v>
      </c>
      <c r="C117" s="5" t="s">
        <v>41</v>
      </c>
      <c r="D117" s="5" t="s">
        <v>54</v>
      </c>
      <c r="E117" s="26" t="s">
        <v>165</v>
      </c>
      <c r="F117" s="10">
        <v>43285</v>
      </c>
      <c r="G117" s="10">
        <v>43285</v>
      </c>
    </row>
    <row r="118" spans="1:7" hidden="1" x14ac:dyDescent="0.25">
      <c r="A118" s="5">
        <f t="shared" si="4"/>
        <v>116</v>
      </c>
      <c r="B118" s="4" t="s">
        <v>170</v>
      </c>
      <c r="C118" s="5" t="s">
        <v>41</v>
      </c>
      <c r="D118" s="5" t="s">
        <v>54</v>
      </c>
      <c r="E118" s="26" t="s">
        <v>165</v>
      </c>
      <c r="F118" s="10">
        <v>43285</v>
      </c>
      <c r="G118" s="10">
        <v>43285</v>
      </c>
    </row>
    <row r="119" spans="1:7" hidden="1" x14ac:dyDescent="0.25">
      <c r="A119" s="5">
        <f t="shared" si="4"/>
        <v>117</v>
      </c>
      <c r="B119" s="4" t="s">
        <v>171</v>
      </c>
      <c r="C119" s="5" t="s">
        <v>41</v>
      </c>
      <c r="D119" s="5" t="s">
        <v>54</v>
      </c>
      <c r="E119" s="26" t="s">
        <v>165</v>
      </c>
      <c r="F119" s="10">
        <v>43285</v>
      </c>
      <c r="G119" s="10">
        <v>43285</v>
      </c>
    </row>
    <row r="120" spans="1:7" ht="75" hidden="1" x14ac:dyDescent="0.25">
      <c r="A120" s="5">
        <f t="shared" si="4"/>
        <v>118</v>
      </c>
      <c r="B120" s="4" t="s">
        <v>229</v>
      </c>
      <c r="C120" s="5" t="s">
        <v>41</v>
      </c>
      <c r="D120" s="5" t="s">
        <v>54</v>
      </c>
      <c r="F120" s="10">
        <v>43285</v>
      </c>
      <c r="G120" s="10">
        <v>43285</v>
      </c>
    </row>
    <row r="121" spans="1:7" ht="30" hidden="1" x14ac:dyDescent="0.25">
      <c r="A121" s="5">
        <f t="shared" si="4"/>
        <v>119</v>
      </c>
      <c r="B121" s="4" t="s">
        <v>172</v>
      </c>
      <c r="C121" s="5" t="s">
        <v>30</v>
      </c>
      <c r="D121" s="5" t="s">
        <v>54</v>
      </c>
      <c r="F121" s="10">
        <v>43285</v>
      </c>
      <c r="G121" s="10">
        <v>43285</v>
      </c>
    </row>
    <row r="122" spans="1:7" hidden="1" x14ac:dyDescent="0.25">
      <c r="A122" s="5">
        <f t="shared" si="4"/>
        <v>120</v>
      </c>
      <c r="B122" s="4" t="s">
        <v>173</v>
      </c>
      <c r="C122" s="5" t="s">
        <v>48</v>
      </c>
      <c r="D122" s="5" t="s">
        <v>54</v>
      </c>
      <c r="F122" s="10">
        <v>43285</v>
      </c>
      <c r="G122" s="10">
        <v>43285</v>
      </c>
    </row>
    <row r="123" spans="1:7" hidden="1" x14ac:dyDescent="0.25">
      <c r="A123" s="5">
        <f t="shared" si="4"/>
        <v>121</v>
      </c>
      <c r="B123" s="28" t="s">
        <v>174</v>
      </c>
      <c r="C123" s="5" t="s">
        <v>48</v>
      </c>
      <c r="D123" s="5" t="s">
        <v>54</v>
      </c>
      <c r="F123" s="10">
        <v>43316</v>
      </c>
      <c r="G123" s="10">
        <v>43316</v>
      </c>
    </row>
    <row r="124" spans="1:7" hidden="1" x14ac:dyDescent="0.25">
      <c r="A124" s="5">
        <f t="shared" si="4"/>
        <v>122</v>
      </c>
      <c r="B124" s="4" t="s">
        <v>180</v>
      </c>
      <c r="C124" s="5" t="s">
        <v>24</v>
      </c>
      <c r="D124" s="5" t="s">
        <v>54</v>
      </c>
      <c r="F124" s="10">
        <v>43347</v>
      </c>
      <c r="G124" s="10">
        <v>43347</v>
      </c>
    </row>
    <row r="125" spans="1:7" ht="30" hidden="1" x14ac:dyDescent="0.25">
      <c r="A125" s="5">
        <f t="shared" si="4"/>
        <v>123</v>
      </c>
      <c r="B125" s="4" t="s">
        <v>175</v>
      </c>
      <c r="C125" s="5" t="s">
        <v>24</v>
      </c>
      <c r="D125" s="5" t="s">
        <v>54</v>
      </c>
      <c r="F125" s="10">
        <v>43347</v>
      </c>
      <c r="G125" s="10">
        <v>43347</v>
      </c>
    </row>
    <row r="126" spans="1:7" hidden="1" x14ac:dyDescent="0.25">
      <c r="A126" s="5">
        <f t="shared" si="4"/>
        <v>124</v>
      </c>
      <c r="B126" s="33" t="s">
        <v>176</v>
      </c>
      <c r="C126" s="5" t="s">
        <v>24</v>
      </c>
      <c r="D126" s="5" t="s">
        <v>54</v>
      </c>
      <c r="F126" s="10">
        <v>43347</v>
      </c>
      <c r="G126" s="10">
        <v>43347</v>
      </c>
    </row>
    <row r="127" spans="1:7" ht="45" hidden="1" x14ac:dyDescent="0.25">
      <c r="A127" s="5">
        <f t="shared" si="4"/>
        <v>125</v>
      </c>
      <c r="B127" s="33" t="s">
        <v>193</v>
      </c>
      <c r="C127" s="5" t="s">
        <v>24</v>
      </c>
      <c r="D127" s="5" t="s">
        <v>54</v>
      </c>
      <c r="F127" s="10">
        <v>43347</v>
      </c>
      <c r="G127" s="10">
        <v>43347</v>
      </c>
    </row>
    <row r="128" spans="1:7" hidden="1" x14ac:dyDescent="0.25">
      <c r="A128" s="5">
        <f t="shared" si="4"/>
        <v>126</v>
      </c>
      <c r="B128" s="4" t="s">
        <v>204</v>
      </c>
      <c r="C128" s="5" t="s">
        <v>24</v>
      </c>
      <c r="D128" s="5" t="s">
        <v>54</v>
      </c>
      <c r="F128" s="10">
        <v>43347</v>
      </c>
      <c r="G128" s="10">
        <v>43347</v>
      </c>
    </row>
    <row r="129" spans="1:7" hidden="1" x14ac:dyDescent="0.25">
      <c r="A129" s="5">
        <f t="shared" si="4"/>
        <v>127</v>
      </c>
      <c r="B129" s="4" t="s">
        <v>177</v>
      </c>
      <c r="C129" s="5" t="s">
        <v>24</v>
      </c>
      <c r="D129" s="5" t="s">
        <v>54</v>
      </c>
      <c r="F129" s="10">
        <v>43347</v>
      </c>
      <c r="G129" s="10">
        <v>43347</v>
      </c>
    </row>
    <row r="130" spans="1:7" ht="30" hidden="1" x14ac:dyDescent="0.25">
      <c r="A130" s="5">
        <f t="shared" si="4"/>
        <v>128</v>
      </c>
      <c r="B130" s="4" t="s">
        <v>178</v>
      </c>
      <c r="C130" s="5" t="s">
        <v>48</v>
      </c>
      <c r="D130" s="5" t="s">
        <v>54</v>
      </c>
      <c r="F130" s="10">
        <v>43347</v>
      </c>
      <c r="G130" s="10">
        <v>43347</v>
      </c>
    </row>
    <row r="131" spans="1:7" hidden="1" x14ac:dyDescent="0.25">
      <c r="A131" s="5">
        <f t="shared" si="4"/>
        <v>129</v>
      </c>
      <c r="B131" s="4" t="s">
        <v>179</v>
      </c>
      <c r="C131" s="5" t="s">
        <v>24</v>
      </c>
      <c r="D131" s="5" t="s">
        <v>54</v>
      </c>
      <c r="F131" s="10">
        <v>43347</v>
      </c>
      <c r="G131" s="10">
        <v>43347</v>
      </c>
    </row>
    <row r="132" spans="1:7" ht="30" hidden="1" x14ac:dyDescent="0.25">
      <c r="A132" s="5">
        <f t="shared" si="4"/>
        <v>130</v>
      </c>
      <c r="B132" s="4" t="s">
        <v>181</v>
      </c>
      <c r="C132" s="5" t="s">
        <v>41</v>
      </c>
      <c r="D132" s="5" t="s">
        <v>54</v>
      </c>
      <c r="F132" s="10">
        <v>43347</v>
      </c>
      <c r="G132" s="10">
        <v>43347</v>
      </c>
    </row>
    <row r="133" spans="1:7" hidden="1" x14ac:dyDescent="0.25">
      <c r="A133" s="5">
        <f t="shared" si="4"/>
        <v>131</v>
      </c>
      <c r="B133" s="4" t="s">
        <v>182</v>
      </c>
      <c r="C133" s="5" t="s">
        <v>41</v>
      </c>
      <c r="D133" s="5" t="s">
        <v>54</v>
      </c>
      <c r="F133" s="10">
        <v>43347</v>
      </c>
      <c r="G133" s="10">
        <v>43347</v>
      </c>
    </row>
    <row r="134" spans="1:7" ht="30" hidden="1" x14ac:dyDescent="0.25">
      <c r="A134" s="5">
        <f t="shared" si="4"/>
        <v>132</v>
      </c>
      <c r="B134" s="33" t="s">
        <v>183</v>
      </c>
      <c r="C134" s="5" t="s">
        <v>24</v>
      </c>
      <c r="D134" s="5" t="s">
        <v>54</v>
      </c>
      <c r="F134" s="10">
        <v>43347</v>
      </c>
      <c r="G134" s="10">
        <v>43347</v>
      </c>
    </row>
    <row r="135" spans="1:7" hidden="1" x14ac:dyDescent="0.25">
      <c r="A135" s="5">
        <f t="shared" si="4"/>
        <v>133</v>
      </c>
      <c r="B135" s="4" t="s">
        <v>184</v>
      </c>
      <c r="C135" s="5" t="s">
        <v>24</v>
      </c>
      <c r="D135" s="5" t="s">
        <v>54</v>
      </c>
      <c r="F135" s="10">
        <v>43347</v>
      </c>
      <c r="G135" s="10">
        <v>43347</v>
      </c>
    </row>
    <row r="136" spans="1:7" hidden="1" x14ac:dyDescent="0.25">
      <c r="A136" s="5">
        <f t="shared" si="4"/>
        <v>134</v>
      </c>
      <c r="B136" s="4" t="s">
        <v>185</v>
      </c>
      <c r="C136" s="5" t="s">
        <v>24</v>
      </c>
      <c r="D136" s="5" t="s">
        <v>54</v>
      </c>
      <c r="F136" s="10">
        <v>43347</v>
      </c>
      <c r="G136" s="10">
        <v>43347</v>
      </c>
    </row>
    <row r="137" spans="1:7" ht="30" hidden="1" x14ac:dyDescent="0.25">
      <c r="A137" s="5">
        <f t="shared" si="4"/>
        <v>135</v>
      </c>
      <c r="B137" s="4" t="s">
        <v>198</v>
      </c>
      <c r="C137" s="5" t="s">
        <v>24</v>
      </c>
      <c r="D137" s="5" t="s">
        <v>54</v>
      </c>
      <c r="F137" s="10">
        <v>43347</v>
      </c>
      <c r="G137" s="10">
        <v>43347</v>
      </c>
    </row>
    <row r="138" spans="1:7" ht="30" hidden="1" x14ac:dyDescent="0.25">
      <c r="A138" s="5">
        <f t="shared" si="4"/>
        <v>136</v>
      </c>
      <c r="B138" s="4" t="s">
        <v>195</v>
      </c>
      <c r="C138" s="5" t="s">
        <v>32</v>
      </c>
      <c r="D138" s="5" t="s">
        <v>54</v>
      </c>
      <c r="F138" s="10">
        <v>43347</v>
      </c>
      <c r="G138" s="10">
        <v>43347</v>
      </c>
    </row>
    <row r="139" spans="1:7" hidden="1" x14ac:dyDescent="0.25">
      <c r="A139" s="5">
        <f t="shared" si="4"/>
        <v>137</v>
      </c>
      <c r="B139" s="4" t="s">
        <v>196</v>
      </c>
      <c r="C139" s="5" t="s">
        <v>32</v>
      </c>
      <c r="D139" s="5" t="s">
        <v>54</v>
      </c>
      <c r="F139" s="10">
        <v>43347</v>
      </c>
      <c r="G139" s="10">
        <v>43347</v>
      </c>
    </row>
    <row r="140" spans="1:7" hidden="1" x14ac:dyDescent="0.25">
      <c r="A140" s="5">
        <f t="shared" si="4"/>
        <v>138</v>
      </c>
      <c r="B140" s="33" t="s">
        <v>194</v>
      </c>
      <c r="C140" s="5" t="s">
        <v>24</v>
      </c>
      <c r="D140" s="5" t="s">
        <v>54</v>
      </c>
      <c r="F140" s="10">
        <v>43347</v>
      </c>
      <c r="G140" s="10">
        <v>43347</v>
      </c>
    </row>
    <row r="141" spans="1:7" hidden="1" x14ac:dyDescent="0.25">
      <c r="A141" s="5">
        <f t="shared" ref="A141:A150" si="5">IF(B141&lt;&gt;"",A140+1,"")</f>
        <v>139</v>
      </c>
      <c r="B141" s="4" t="s">
        <v>201</v>
      </c>
      <c r="C141" s="5" t="s">
        <v>32</v>
      </c>
      <c r="D141" s="5" t="s">
        <v>54</v>
      </c>
      <c r="F141" s="10">
        <v>43347</v>
      </c>
      <c r="G141" s="10">
        <v>43347</v>
      </c>
    </row>
    <row r="142" spans="1:7" ht="30" hidden="1" x14ac:dyDescent="0.25">
      <c r="A142" s="5">
        <f t="shared" si="5"/>
        <v>140</v>
      </c>
      <c r="B142" s="4" t="s">
        <v>187</v>
      </c>
      <c r="C142" s="5" t="s">
        <v>41</v>
      </c>
      <c r="D142" s="5" t="s">
        <v>54</v>
      </c>
      <c r="F142" s="10">
        <v>43347</v>
      </c>
      <c r="G142" s="10">
        <v>43347</v>
      </c>
    </row>
    <row r="143" spans="1:7" ht="30" hidden="1" x14ac:dyDescent="0.25">
      <c r="A143" s="5">
        <f t="shared" si="5"/>
        <v>141</v>
      </c>
      <c r="B143" s="4" t="s">
        <v>188</v>
      </c>
      <c r="C143" s="5" t="s">
        <v>24</v>
      </c>
      <c r="D143" s="5" t="s">
        <v>54</v>
      </c>
      <c r="F143" s="10">
        <v>43347</v>
      </c>
      <c r="G143" s="10">
        <v>43347</v>
      </c>
    </row>
    <row r="144" spans="1:7" ht="45" hidden="1" x14ac:dyDescent="0.25">
      <c r="A144" s="5">
        <f t="shared" si="5"/>
        <v>142</v>
      </c>
      <c r="B144" s="4" t="s">
        <v>199</v>
      </c>
      <c r="C144" s="5" t="s">
        <v>30</v>
      </c>
      <c r="D144" s="5" t="s">
        <v>54</v>
      </c>
      <c r="F144" s="10">
        <v>43347</v>
      </c>
      <c r="G144" s="10">
        <v>43347</v>
      </c>
    </row>
    <row r="145" spans="1:7" hidden="1" x14ac:dyDescent="0.25">
      <c r="A145" s="5">
        <f t="shared" si="5"/>
        <v>143</v>
      </c>
      <c r="B145" s="4" t="s">
        <v>189</v>
      </c>
      <c r="C145" s="5" t="s">
        <v>32</v>
      </c>
      <c r="D145" s="5" t="s">
        <v>54</v>
      </c>
      <c r="F145" s="10">
        <v>43347</v>
      </c>
      <c r="G145" s="10">
        <v>43347</v>
      </c>
    </row>
    <row r="146" spans="1:7" hidden="1" x14ac:dyDescent="0.25">
      <c r="A146" s="5">
        <f t="shared" si="5"/>
        <v>144</v>
      </c>
      <c r="B146" s="4" t="s">
        <v>190</v>
      </c>
      <c r="C146" s="5" t="s">
        <v>30</v>
      </c>
      <c r="D146" s="5" t="s">
        <v>54</v>
      </c>
      <c r="F146" s="10">
        <v>43347</v>
      </c>
      <c r="G146" s="10">
        <v>43347</v>
      </c>
    </row>
    <row r="147" spans="1:7" hidden="1" x14ac:dyDescent="0.25">
      <c r="A147" s="5">
        <f t="shared" si="5"/>
        <v>145</v>
      </c>
      <c r="B147" s="4" t="s">
        <v>191</v>
      </c>
      <c r="C147" s="5" t="s">
        <v>41</v>
      </c>
      <c r="D147" s="5" t="s">
        <v>54</v>
      </c>
      <c r="F147" s="10">
        <v>43347</v>
      </c>
      <c r="G147" s="10">
        <v>43347</v>
      </c>
    </row>
    <row r="148" spans="1:7" ht="30" hidden="1" x14ac:dyDescent="0.25">
      <c r="A148" s="5">
        <f t="shared" si="5"/>
        <v>146</v>
      </c>
      <c r="B148" s="4" t="s">
        <v>192</v>
      </c>
      <c r="C148" s="5" t="s">
        <v>32</v>
      </c>
      <c r="D148" s="5" t="s">
        <v>54</v>
      </c>
      <c r="F148" s="10">
        <v>43347</v>
      </c>
      <c r="G148" s="10">
        <v>43347</v>
      </c>
    </row>
    <row r="149" spans="1:7" ht="30" hidden="1" x14ac:dyDescent="0.25">
      <c r="A149" s="5">
        <f t="shared" si="5"/>
        <v>147</v>
      </c>
      <c r="B149" s="4" t="s">
        <v>203</v>
      </c>
      <c r="C149" s="5" t="s">
        <v>24</v>
      </c>
      <c r="D149" s="5" t="s">
        <v>54</v>
      </c>
      <c r="G149" s="32"/>
    </row>
    <row r="150" spans="1:7" hidden="1" x14ac:dyDescent="0.25">
      <c r="A150" s="5">
        <f t="shared" si="5"/>
        <v>148</v>
      </c>
      <c r="B150" s="4" t="s">
        <v>202</v>
      </c>
      <c r="C150" s="5" t="s">
        <v>24</v>
      </c>
      <c r="D150" s="5" t="s">
        <v>54</v>
      </c>
      <c r="F150" s="32">
        <v>43201</v>
      </c>
      <c r="G150" s="32">
        <v>43201</v>
      </c>
    </row>
    <row r="151" spans="1:7" hidden="1" x14ac:dyDescent="0.25">
      <c r="A151" s="5">
        <f t="shared" ref="A151:A166" si="6">IF(B151&lt;&gt;"",A150+1,"")</f>
        <v>149</v>
      </c>
      <c r="B151" s="4" t="s">
        <v>216</v>
      </c>
      <c r="C151" s="5" t="s">
        <v>48</v>
      </c>
      <c r="D151" s="5" t="s">
        <v>186</v>
      </c>
      <c r="F151" s="32">
        <v>43201</v>
      </c>
      <c r="G151" s="32">
        <v>43201</v>
      </c>
    </row>
    <row r="152" spans="1:7" hidden="1" x14ac:dyDescent="0.25">
      <c r="A152" s="5">
        <f t="shared" si="6"/>
        <v>150</v>
      </c>
      <c r="B152" s="4" t="s">
        <v>208</v>
      </c>
      <c r="C152" s="5" t="s">
        <v>48</v>
      </c>
      <c r="D152" s="5" t="s">
        <v>54</v>
      </c>
      <c r="F152" s="32">
        <v>43201</v>
      </c>
      <c r="G152" s="32">
        <v>43201</v>
      </c>
    </row>
    <row r="153" spans="1:7" hidden="1" x14ac:dyDescent="0.25">
      <c r="A153" s="5">
        <f t="shared" si="6"/>
        <v>151</v>
      </c>
      <c r="B153" s="4" t="s">
        <v>209</v>
      </c>
      <c r="C153" s="5" t="s">
        <v>41</v>
      </c>
      <c r="D153" s="5" t="s">
        <v>54</v>
      </c>
      <c r="F153" s="32">
        <v>43201</v>
      </c>
      <c r="G153" s="32">
        <v>43201</v>
      </c>
    </row>
    <row r="154" spans="1:7" hidden="1" x14ac:dyDescent="0.25">
      <c r="A154" s="5">
        <f t="shared" si="6"/>
        <v>152</v>
      </c>
      <c r="B154" s="4" t="s">
        <v>210</v>
      </c>
      <c r="C154" s="5" t="s">
        <v>30</v>
      </c>
      <c r="D154" s="5" t="s">
        <v>54</v>
      </c>
      <c r="F154" s="32">
        <v>43201</v>
      </c>
      <c r="G154" s="32">
        <v>43201</v>
      </c>
    </row>
    <row r="155" spans="1:7" hidden="1" x14ac:dyDescent="0.25">
      <c r="A155" s="5">
        <f t="shared" si="6"/>
        <v>153</v>
      </c>
      <c r="B155" s="4" t="s">
        <v>211</v>
      </c>
      <c r="C155" s="5" t="s">
        <v>41</v>
      </c>
      <c r="D155" s="5" t="s">
        <v>54</v>
      </c>
      <c r="F155" s="32">
        <v>43201</v>
      </c>
      <c r="G155" s="32">
        <v>43201</v>
      </c>
    </row>
    <row r="156" spans="1:7" hidden="1" x14ac:dyDescent="0.25">
      <c r="A156" s="5">
        <f t="shared" si="6"/>
        <v>154</v>
      </c>
      <c r="B156" s="4" t="s">
        <v>217</v>
      </c>
      <c r="C156" s="5" t="s">
        <v>48</v>
      </c>
      <c r="D156" s="5" t="s">
        <v>54</v>
      </c>
      <c r="F156" s="32">
        <v>43201</v>
      </c>
      <c r="G156" s="32">
        <v>43201</v>
      </c>
    </row>
    <row r="157" spans="1:7" hidden="1" x14ac:dyDescent="0.25">
      <c r="A157" s="5">
        <f t="shared" si="6"/>
        <v>155</v>
      </c>
      <c r="B157" s="4" t="s">
        <v>212</v>
      </c>
      <c r="C157" s="5" t="s">
        <v>24</v>
      </c>
      <c r="D157" s="5" t="s">
        <v>54</v>
      </c>
      <c r="F157" s="32">
        <v>43201</v>
      </c>
      <c r="G157" s="32">
        <v>43201</v>
      </c>
    </row>
    <row r="158" spans="1:7" ht="30" hidden="1" x14ac:dyDescent="0.25">
      <c r="A158" s="5">
        <f t="shared" si="6"/>
        <v>156</v>
      </c>
      <c r="B158" s="4" t="s">
        <v>260</v>
      </c>
      <c r="C158" s="5" t="s">
        <v>32</v>
      </c>
      <c r="D158" s="5" t="s">
        <v>186</v>
      </c>
      <c r="F158" s="32">
        <v>43201</v>
      </c>
      <c r="G158" s="32">
        <v>43201</v>
      </c>
    </row>
    <row r="159" spans="1:7" hidden="1" x14ac:dyDescent="0.25">
      <c r="A159" s="5">
        <f t="shared" si="6"/>
        <v>157</v>
      </c>
      <c r="B159" s="4" t="s">
        <v>213</v>
      </c>
      <c r="C159" s="5" t="s">
        <v>41</v>
      </c>
      <c r="D159" s="5" t="s">
        <v>54</v>
      </c>
      <c r="F159" s="32">
        <v>43201</v>
      </c>
      <c r="G159" s="32">
        <v>43201</v>
      </c>
    </row>
    <row r="160" spans="1:7" hidden="1" x14ac:dyDescent="0.25">
      <c r="A160" s="5">
        <f t="shared" si="6"/>
        <v>158</v>
      </c>
      <c r="B160" s="4" t="s">
        <v>218</v>
      </c>
      <c r="C160" s="5" t="s">
        <v>30</v>
      </c>
      <c r="D160" s="5" t="s">
        <v>54</v>
      </c>
      <c r="F160" s="32">
        <v>43201</v>
      </c>
      <c r="G160" s="32">
        <v>43201</v>
      </c>
    </row>
    <row r="161" spans="1:7" hidden="1" x14ac:dyDescent="0.25">
      <c r="A161" s="5">
        <f t="shared" si="6"/>
        <v>159</v>
      </c>
      <c r="B161" s="4" t="s">
        <v>248</v>
      </c>
      <c r="C161" s="5" t="s">
        <v>41</v>
      </c>
      <c r="D161" s="5" t="s">
        <v>54</v>
      </c>
      <c r="F161" s="32">
        <v>43201</v>
      </c>
      <c r="G161" s="32">
        <v>43201</v>
      </c>
    </row>
    <row r="162" spans="1:7" hidden="1" x14ac:dyDescent="0.25">
      <c r="A162" s="5">
        <f t="shared" si="6"/>
        <v>160</v>
      </c>
      <c r="B162" s="4" t="s">
        <v>214</v>
      </c>
      <c r="C162" s="5" t="s">
        <v>24</v>
      </c>
      <c r="D162" s="5" t="s">
        <v>54</v>
      </c>
      <c r="F162" s="32">
        <v>43201</v>
      </c>
      <c r="G162" s="32">
        <v>43201</v>
      </c>
    </row>
    <row r="163" spans="1:7" ht="30" hidden="1" x14ac:dyDescent="0.25">
      <c r="A163" s="5">
        <f t="shared" si="6"/>
        <v>161</v>
      </c>
      <c r="B163" s="4" t="s">
        <v>215</v>
      </c>
      <c r="C163" s="5" t="s">
        <v>219</v>
      </c>
      <c r="D163" s="5" t="s">
        <v>54</v>
      </c>
      <c r="F163" s="32">
        <v>43201</v>
      </c>
      <c r="G163" s="32">
        <v>43201</v>
      </c>
    </row>
    <row r="164" spans="1:7" ht="45" hidden="1" x14ac:dyDescent="0.25">
      <c r="A164" s="5">
        <f t="shared" si="6"/>
        <v>162</v>
      </c>
      <c r="B164" s="4" t="s">
        <v>207</v>
      </c>
      <c r="C164" s="5" t="s">
        <v>48</v>
      </c>
      <c r="D164" s="5" t="s">
        <v>54</v>
      </c>
      <c r="F164" s="32">
        <v>43201</v>
      </c>
      <c r="G164" s="32">
        <v>43201</v>
      </c>
    </row>
    <row r="165" spans="1:7" ht="45" hidden="1" x14ac:dyDescent="0.25">
      <c r="A165" s="5">
        <f t="shared" si="6"/>
        <v>163</v>
      </c>
      <c r="B165" s="4" t="s">
        <v>205</v>
      </c>
      <c r="C165" s="5" t="s">
        <v>32</v>
      </c>
      <c r="D165" s="5" t="s">
        <v>54</v>
      </c>
      <c r="F165" s="32">
        <v>43202</v>
      </c>
      <c r="G165" s="32">
        <v>43202</v>
      </c>
    </row>
    <row r="166" spans="1:7" hidden="1" x14ac:dyDescent="0.25">
      <c r="A166" s="5">
        <f t="shared" si="6"/>
        <v>164</v>
      </c>
      <c r="B166" s="4" t="s">
        <v>206</v>
      </c>
      <c r="C166" s="5" t="s">
        <v>219</v>
      </c>
      <c r="D166" s="5" t="s">
        <v>54</v>
      </c>
      <c r="F166" s="32">
        <v>43202</v>
      </c>
      <c r="G166" s="32">
        <v>43202</v>
      </c>
    </row>
    <row r="167" spans="1:7" hidden="1" x14ac:dyDescent="0.25">
      <c r="A167" s="5">
        <f t="shared" ref="A167:A230" si="7">IF(B167&lt;&gt;"",A166+1,"")</f>
        <v>165</v>
      </c>
      <c r="B167" s="4" t="s">
        <v>222</v>
      </c>
      <c r="C167" s="5" t="s">
        <v>41</v>
      </c>
      <c r="D167" s="5" t="s">
        <v>54</v>
      </c>
      <c r="F167" s="32">
        <v>43202</v>
      </c>
      <c r="G167" s="32">
        <v>43202</v>
      </c>
    </row>
    <row r="168" spans="1:7" ht="60" hidden="1" x14ac:dyDescent="0.25">
      <c r="A168" s="5">
        <f t="shared" si="7"/>
        <v>166</v>
      </c>
      <c r="B168" s="4" t="s">
        <v>223</v>
      </c>
      <c r="C168" s="5" t="s">
        <v>24</v>
      </c>
      <c r="D168" s="5" t="s">
        <v>54</v>
      </c>
      <c r="F168" s="32">
        <v>43202</v>
      </c>
      <c r="G168" s="32">
        <v>43202</v>
      </c>
    </row>
    <row r="169" spans="1:7" ht="75" hidden="1" x14ac:dyDescent="0.25">
      <c r="A169" s="5">
        <f t="shared" si="7"/>
        <v>167</v>
      </c>
      <c r="B169" s="4" t="s">
        <v>230</v>
      </c>
      <c r="C169" s="5" t="s">
        <v>30</v>
      </c>
      <c r="D169" s="5" t="s">
        <v>54</v>
      </c>
      <c r="E169" s="34" t="s">
        <v>224</v>
      </c>
      <c r="F169" s="32">
        <v>43202</v>
      </c>
      <c r="G169" s="32">
        <v>43202</v>
      </c>
    </row>
    <row r="170" spans="1:7" ht="30" hidden="1" x14ac:dyDescent="0.25">
      <c r="A170" s="5">
        <f t="shared" si="7"/>
        <v>168</v>
      </c>
      <c r="B170" s="4" t="s">
        <v>226</v>
      </c>
      <c r="C170" s="5" t="s">
        <v>41</v>
      </c>
      <c r="D170" s="5" t="s">
        <v>54</v>
      </c>
      <c r="F170" s="32">
        <v>43202</v>
      </c>
      <c r="G170" s="32">
        <v>43202</v>
      </c>
    </row>
    <row r="171" spans="1:7" hidden="1" x14ac:dyDescent="0.25">
      <c r="A171" s="5">
        <f t="shared" si="7"/>
        <v>169</v>
      </c>
      <c r="B171" s="4" t="s">
        <v>225</v>
      </c>
      <c r="C171" s="5" t="s">
        <v>32</v>
      </c>
      <c r="D171" s="5" t="s">
        <v>54</v>
      </c>
      <c r="F171" s="32">
        <v>43202</v>
      </c>
      <c r="G171" s="32">
        <v>43202</v>
      </c>
    </row>
    <row r="172" spans="1:7" ht="30" hidden="1" x14ac:dyDescent="0.25">
      <c r="A172" s="5">
        <f t="shared" si="7"/>
        <v>170</v>
      </c>
      <c r="B172" s="4" t="s">
        <v>227</v>
      </c>
      <c r="C172" s="5" t="s">
        <v>24</v>
      </c>
      <c r="D172" s="5" t="s">
        <v>54</v>
      </c>
      <c r="F172" s="32">
        <v>43204</v>
      </c>
      <c r="G172" s="32">
        <v>43204</v>
      </c>
    </row>
    <row r="173" spans="1:7" hidden="1" x14ac:dyDescent="0.25">
      <c r="A173" s="5">
        <f t="shared" si="7"/>
        <v>171</v>
      </c>
      <c r="B173" s="4" t="s">
        <v>228</v>
      </c>
      <c r="C173" s="5" t="s">
        <v>41</v>
      </c>
      <c r="D173" s="5" t="s">
        <v>54</v>
      </c>
      <c r="F173" s="32">
        <v>43204</v>
      </c>
      <c r="G173" s="32">
        <v>43204</v>
      </c>
    </row>
    <row r="174" spans="1:7" hidden="1" x14ac:dyDescent="0.25">
      <c r="A174" s="5">
        <f t="shared" si="7"/>
        <v>172</v>
      </c>
      <c r="B174" s="4" t="s">
        <v>231</v>
      </c>
      <c r="C174" s="5" t="s">
        <v>24</v>
      </c>
      <c r="D174" s="5" t="s">
        <v>54</v>
      </c>
      <c r="F174" s="32">
        <v>43204</v>
      </c>
      <c r="G174" s="32">
        <v>43204</v>
      </c>
    </row>
    <row r="175" spans="1:7" ht="120" hidden="1" x14ac:dyDescent="0.25">
      <c r="A175" s="5">
        <f t="shared" si="7"/>
        <v>173</v>
      </c>
      <c r="B175" s="33" t="s">
        <v>236</v>
      </c>
      <c r="C175" s="5" t="s">
        <v>48</v>
      </c>
      <c r="D175" s="5" t="s">
        <v>54</v>
      </c>
      <c r="F175" s="32">
        <v>43204</v>
      </c>
      <c r="G175" s="32">
        <v>43204</v>
      </c>
    </row>
    <row r="176" spans="1:7" ht="120" hidden="1" x14ac:dyDescent="0.25">
      <c r="A176" s="5">
        <f t="shared" si="7"/>
        <v>174</v>
      </c>
      <c r="B176" s="4" t="s">
        <v>238</v>
      </c>
      <c r="C176" s="5" t="s">
        <v>48</v>
      </c>
      <c r="D176" s="5" t="s">
        <v>54</v>
      </c>
      <c r="F176" s="32">
        <v>43204</v>
      </c>
      <c r="G176" s="32">
        <v>43204</v>
      </c>
    </row>
    <row r="177" spans="1:7" hidden="1" x14ac:dyDescent="0.25">
      <c r="A177" s="5">
        <f t="shared" si="7"/>
        <v>175</v>
      </c>
      <c r="B177" s="4" t="s">
        <v>237</v>
      </c>
      <c r="C177" s="5" t="s">
        <v>32</v>
      </c>
      <c r="D177" s="5" t="s">
        <v>54</v>
      </c>
      <c r="F177" s="32">
        <v>43204</v>
      </c>
      <c r="G177" s="32">
        <v>43204</v>
      </c>
    </row>
    <row r="178" spans="1:7" ht="105.75" hidden="1" customHeight="1" x14ac:dyDescent="0.25">
      <c r="A178" s="5">
        <f t="shared" si="7"/>
        <v>176</v>
      </c>
      <c r="B178" s="4" t="s">
        <v>239</v>
      </c>
      <c r="C178" s="5" t="s">
        <v>32</v>
      </c>
      <c r="D178" s="5" t="s">
        <v>54</v>
      </c>
      <c r="F178" s="32">
        <v>43206</v>
      </c>
      <c r="G178" s="32">
        <v>43206</v>
      </c>
    </row>
    <row r="179" spans="1:7" hidden="1" x14ac:dyDescent="0.25">
      <c r="A179" s="5">
        <f t="shared" si="7"/>
        <v>177</v>
      </c>
      <c r="B179" s="4" t="s">
        <v>240</v>
      </c>
      <c r="C179" s="5" t="s">
        <v>32</v>
      </c>
      <c r="D179" s="5" t="s">
        <v>54</v>
      </c>
      <c r="F179" s="32">
        <v>43206</v>
      </c>
      <c r="G179" s="32">
        <v>43206</v>
      </c>
    </row>
    <row r="180" spans="1:7" hidden="1" x14ac:dyDescent="0.25">
      <c r="A180" s="5">
        <f t="shared" si="7"/>
        <v>178</v>
      </c>
      <c r="B180" s="4" t="s">
        <v>241</v>
      </c>
      <c r="C180" s="5" t="s">
        <v>32</v>
      </c>
      <c r="D180" s="5" t="s">
        <v>54</v>
      </c>
      <c r="F180" s="32">
        <v>43206</v>
      </c>
      <c r="G180" s="32">
        <v>43206</v>
      </c>
    </row>
    <row r="181" spans="1:7" ht="30" hidden="1" x14ac:dyDescent="0.25">
      <c r="A181" s="5">
        <f t="shared" si="7"/>
        <v>179</v>
      </c>
      <c r="B181" s="4" t="s">
        <v>242</v>
      </c>
      <c r="C181" s="5" t="s">
        <v>243</v>
      </c>
      <c r="D181" s="5" t="s">
        <v>54</v>
      </c>
      <c r="F181" s="32">
        <v>43206</v>
      </c>
      <c r="G181" s="32">
        <v>43206</v>
      </c>
    </row>
    <row r="182" spans="1:7" ht="30" hidden="1" x14ac:dyDescent="0.25">
      <c r="A182" s="5">
        <f t="shared" si="7"/>
        <v>180</v>
      </c>
      <c r="B182" s="4" t="s">
        <v>244</v>
      </c>
      <c r="C182" s="5" t="s">
        <v>30</v>
      </c>
      <c r="D182" s="5" t="s">
        <v>54</v>
      </c>
      <c r="F182" s="32">
        <v>43206</v>
      </c>
      <c r="G182" s="32">
        <v>43206</v>
      </c>
    </row>
    <row r="183" spans="1:7" hidden="1" x14ac:dyDescent="0.25">
      <c r="A183" s="5">
        <f t="shared" si="7"/>
        <v>181</v>
      </c>
      <c r="B183" s="4" t="s">
        <v>245</v>
      </c>
      <c r="C183" s="5" t="s">
        <v>24</v>
      </c>
      <c r="D183" s="5" t="s">
        <v>54</v>
      </c>
      <c r="F183" s="32">
        <v>43206</v>
      </c>
      <c r="G183" s="32">
        <v>43206</v>
      </c>
    </row>
    <row r="184" spans="1:7" hidden="1" x14ac:dyDescent="0.25">
      <c r="A184" s="5">
        <f t="shared" si="7"/>
        <v>182</v>
      </c>
      <c r="B184" s="4" t="s">
        <v>246</v>
      </c>
      <c r="C184" s="5" t="s">
        <v>41</v>
      </c>
      <c r="D184" s="5" t="s">
        <v>54</v>
      </c>
      <c r="F184" s="32">
        <v>43206</v>
      </c>
      <c r="G184" s="32">
        <v>43206</v>
      </c>
    </row>
    <row r="185" spans="1:7" ht="30" hidden="1" x14ac:dyDescent="0.25">
      <c r="A185" s="5">
        <f t="shared" si="7"/>
        <v>183</v>
      </c>
      <c r="B185" s="4" t="s">
        <v>261</v>
      </c>
      <c r="C185" s="5" t="s">
        <v>32</v>
      </c>
      <c r="D185" s="5" t="s">
        <v>186</v>
      </c>
      <c r="F185" s="32">
        <v>43206</v>
      </c>
      <c r="G185" s="32">
        <v>43206</v>
      </c>
    </row>
    <row r="186" spans="1:7" hidden="1" x14ac:dyDescent="0.25">
      <c r="A186" s="5">
        <f t="shared" si="7"/>
        <v>184</v>
      </c>
      <c r="B186" s="4" t="s">
        <v>247</v>
      </c>
      <c r="C186" s="5" t="s">
        <v>24</v>
      </c>
      <c r="D186" s="5" t="s">
        <v>54</v>
      </c>
      <c r="F186" s="32">
        <v>43207</v>
      </c>
      <c r="G186" s="32">
        <v>43207</v>
      </c>
    </row>
    <row r="187" spans="1:7" ht="30" hidden="1" x14ac:dyDescent="0.25">
      <c r="A187" s="5">
        <f t="shared" si="7"/>
        <v>185</v>
      </c>
      <c r="B187" s="4" t="s">
        <v>200</v>
      </c>
      <c r="C187" s="5" t="s">
        <v>219</v>
      </c>
      <c r="D187" s="5" t="s">
        <v>54</v>
      </c>
      <c r="F187" s="32">
        <v>43207</v>
      </c>
      <c r="G187" s="32">
        <v>43207</v>
      </c>
    </row>
    <row r="188" spans="1:7" ht="30" hidden="1" x14ac:dyDescent="0.25">
      <c r="A188" s="5">
        <f t="shared" si="7"/>
        <v>186</v>
      </c>
      <c r="B188" s="4" t="s">
        <v>253</v>
      </c>
      <c r="C188" s="5" t="s">
        <v>24</v>
      </c>
      <c r="D188" s="5" t="s">
        <v>186</v>
      </c>
      <c r="F188" s="32">
        <v>43207</v>
      </c>
      <c r="G188" s="32">
        <v>43207</v>
      </c>
    </row>
    <row r="189" spans="1:7" ht="75" hidden="1" x14ac:dyDescent="0.25">
      <c r="A189" s="5">
        <f t="shared" si="7"/>
        <v>187</v>
      </c>
      <c r="B189" s="4" t="s">
        <v>249</v>
      </c>
      <c r="C189" s="5" t="s">
        <v>259</v>
      </c>
      <c r="D189" s="5" t="s">
        <v>186</v>
      </c>
      <c r="G189" s="32"/>
    </row>
    <row r="190" spans="1:7" hidden="1" x14ac:dyDescent="0.25">
      <c r="A190" s="5">
        <f t="shared" si="7"/>
        <v>188</v>
      </c>
      <c r="B190" s="4" t="s">
        <v>251</v>
      </c>
      <c r="C190" s="5" t="s">
        <v>24</v>
      </c>
      <c r="D190" s="5" t="s">
        <v>54</v>
      </c>
      <c r="F190" s="32">
        <v>43209</v>
      </c>
      <c r="G190" s="32">
        <v>43209</v>
      </c>
    </row>
    <row r="191" spans="1:7" hidden="1" x14ac:dyDescent="0.25">
      <c r="A191" s="5">
        <f t="shared" si="7"/>
        <v>189</v>
      </c>
      <c r="B191" s="4" t="s">
        <v>250</v>
      </c>
      <c r="C191" s="5" t="s">
        <v>41</v>
      </c>
      <c r="D191" s="5" t="s">
        <v>54</v>
      </c>
      <c r="F191" s="32">
        <v>43209</v>
      </c>
      <c r="G191" s="32">
        <v>43209</v>
      </c>
    </row>
    <row r="192" spans="1:7" hidden="1" x14ac:dyDescent="0.25">
      <c r="A192" s="5">
        <f t="shared" si="7"/>
        <v>190</v>
      </c>
      <c r="B192" s="4" t="s">
        <v>252</v>
      </c>
      <c r="C192" s="5" t="s">
        <v>32</v>
      </c>
      <c r="D192" s="5" t="s">
        <v>54</v>
      </c>
      <c r="F192" s="32">
        <v>43210</v>
      </c>
      <c r="G192" s="32">
        <v>43210</v>
      </c>
    </row>
    <row r="193" spans="1:7" ht="75" hidden="1" x14ac:dyDescent="0.25">
      <c r="A193" s="5">
        <f t="shared" si="7"/>
        <v>191</v>
      </c>
      <c r="B193" s="4" t="s">
        <v>254</v>
      </c>
      <c r="C193" s="5" t="s">
        <v>32</v>
      </c>
      <c r="D193" s="5" t="s">
        <v>186</v>
      </c>
      <c r="F193" s="32">
        <v>43210</v>
      </c>
      <c r="G193" s="32">
        <v>43210</v>
      </c>
    </row>
    <row r="194" spans="1:7" ht="60" hidden="1" x14ac:dyDescent="0.25">
      <c r="A194" s="5">
        <f t="shared" si="7"/>
        <v>192</v>
      </c>
      <c r="B194" s="4" t="s">
        <v>255</v>
      </c>
      <c r="C194" s="5" t="s">
        <v>41</v>
      </c>
      <c r="D194" s="5" t="s">
        <v>54</v>
      </c>
      <c r="F194" s="32">
        <v>43210</v>
      </c>
      <c r="G194" s="32">
        <v>43210</v>
      </c>
    </row>
    <row r="195" spans="1:7" ht="90" hidden="1" x14ac:dyDescent="0.25">
      <c r="A195" s="5">
        <f t="shared" si="7"/>
        <v>193</v>
      </c>
      <c r="B195" s="4" t="s">
        <v>256</v>
      </c>
      <c r="C195" s="5" t="s">
        <v>48</v>
      </c>
      <c r="D195" s="5" t="s">
        <v>186</v>
      </c>
      <c r="F195" s="32">
        <v>43210</v>
      </c>
      <c r="G195" s="32">
        <v>43210</v>
      </c>
    </row>
    <row r="196" spans="1:7" ht="30" x14ac:dyDescent="0.25">
      <c r="A196" s="5">
        <f t="shared" si="7"/>
        <v>194</v>
      </c>
      <c r="B196" s="4" t="s">
        <v>257</v>
      </c>
      <c r="C196" s="5" t="s">
        <v>24</v>
      </c>
      <c r="D196" s="5" t="str">
        <f t="shared" ref="D196:D239" si="8">IF(C196 &lt;&gt; 0,"Assigned","")</f>
        <v>Assigned</v>
      </c>
      <c r="G196" s="32"/>
    </row>
    <row r="197" spans="1:7" ht="30" x14ac:dyDescent="0.25">
      <c r="A197" s="5">
        <f t="shared" si="7"/>
        <v>195</v>
      </c>
      <c r="B197" s="4" t="s">
        <v>258</v>
      </c>
      <c r="C197" s="5" t="s">
        <v>24</v>
      </c>
      <c r="D197" s="5" t="str">
        <f t="shared" si="8"/>
        <v>Assigned</v>
      </c>
    </row>
    <row r="198" spans="1:7" x14ac:dyDescent="0.25">
      <c r="A198" s="5">
        <f t="shared" si="7"/>
        <v>196</v>
      </c>
      <c r="B198" s="4" t="s">
        <v>262</v>
      </c>
      <c r="C198" s="5" t="s">
        <v>24</v>
      </c>
      <c r="D198" s="5" t="s">
        <v>186</v>
      </c>
    </row>
    <row r="199" spans="1:7" x14ac:dyDescent="0.25">
      <c r="A199" s="5">
        <f t="shared" si="7"/>
        <v>197</v>
      </c>
      <c r="B199" s="4" t="s">
        <v>267</v>
      </c>
      <c r="C199" s="5" t="s">
        <v>24</v>
      </c>
      <c r="D199" s="5" t="str">
        <f t="shared" si="8"/>
        <v>Assigned</v>
      </c>
    </row>
    <row r="200" spans="1:7" x14ac:dyDescent="0.25">
      <c r="A200" s="5">
        <f t="shared" si="7"/>
        <v>198</v>
      </c>
      <c r="B200" s="4" t="s">
        <v>268</v>
      </c>
      <c r="C200" s="5" t="s">
        <v>24</v>
      </c>
      <c r="D200" s="5" t="s">
        <v>54</v>
      </c>
    </row>
    <row r="201" spans="1:7" x14ac:dyDescent="0.25">
      <c r="A201" s="5">
        <f t="shared" si="7"/>
        <v>199</v>
      </c>
      <c r="B201" s="4" t="s">
        <v>269</v>
      </c>
      <c r="C201" s="5" t="s">
        <v>24</v>
      </c>
      <c r="D201" s="5" t="str">
        <f t="shared" si="8"/>
        <v>Assigned</v>
      </c>
    </row>
    <row r="202" spans="1:7" ht="105" x14ac:dyDescent="0.25">
      <c r="A202" s="5">
        <f t="shared" si="7"/>
        <v>200</v>
      </c>
      <c r="B202" s="4" t="s">
        <v>270</v>
      </c>
      <c r="C202" s="5" t="s">
        <v>30</v>
      </c>
      <c r="D202" s="5" t="str">
        <f t="shared" si="8"/>
        <v>Assigned</v>
      </c>
    </row>
    <row r="203" spans="1:7" ht="60" hidden="1" x14ac:dyDescent="0.25">
      <c r="A203" s="5">
        <f t="shared" si="7"/>
        <v>201</v>
      </c>
      <c r="B203" s="4" t="s">
        <v>271</v>
      </c>
      <c r="C203" s="5" t="s">
        <v>32</v>
      </c>
      <c r="D203" s="5" t="s">
        <v>54</v>
      </c>
    </row>
    <row r="204" spans="1:7" ht="29.25" x14ac:dyDescent="0.25">
      <c r="A204" s="5">
        <f t="shared" si="7"/>
        <v>202</v>
      </c>
      <c r="B204" s="36" t="s">
        <v>272</v>
      </c>
      <c r="C204" s="5" t="s">
        <v>32</v>
      </c>
      <c r="D204" s="5" t="str">
        <f t="shared" si="8"/>
        <v>Assigned</v>
      </c>
    </row>
    <row r="205" spans="1:7" x14ac:dyDescent="0.25">
      <c r="A205" s="5">
        <f t="shared" si="7"/>
        <v>203</v>
      </c>
      <c r="B205" s="4" t="s">
        <v>273</v>
      </c>
      <c r="C205" s="5" t="s">
        <v>32</v>
      </c>
      <c r="D205" s="5" t="str">
        <f t="shared" si="8"/>
        <v>Assigned</v>
      </c>
    </row>
    <row r="206" spans="1:7" x14ac:dyDescent="0.25">
      <c r="A206" s="5">
        <f t="shared" si="7"/>
        <v>204</v>
      </c>
      <c r="B206" s="4" t="s">
        <v>274</v>
      </c>
      <c r="C206" s="5" t="s">
        <v>32</v>
      </c>
      <c r="D206" s="5" t="str">
        <f t="shared" si="8"/>
        <v>Assigned</v>
      </c>
    </row>
    <row r="207" spans="1:7" ht="60" x14ac:dyDescent="0.25">
      <c r="A207" s="5">
        <f t="shared" si="7"/>
        <v>205</v>
      </c>
      <c r="B207" s="4" t="s">
        <v>275</v>
      </c>
      <c r="C207" s="5" t="s">
        <v>219</v>
      </c>
      <c r="D207" s="5" t="str">
        <f t="shared" si="8"/>
        <v>Assigned</v>
      </c>
    </row>
    <row r="208" spans="1:7" ht="30" x14ac:dyDescent="0.25">
      <c r="A208" s="5">
        <f t="shared" si="7"/>
        <v>206</v>
      </c>
      <c r="B208" s="4" t="s">
        <v>276</v>
      </c>
      <c r="C208" s="5" t="s">
        <v>24</v>
      </c>
      <c r="D208" s="5" t="str">
        <f t="shared" si="8"/>
        <v>Assigned</v>
      </c>
    </row>
    <row r="209" spans="1:4" ht="30" x14ac:dyDescent="0.25">
      <c r="A209" s="5">
        <f t="shared" si="7"/>
        <v>207</v>
      </c>
      <c r="B209" s="4" t="s">
        <v>277</v>
      </c>
      <c r="C209" s="5" t="s">
        <v>24</v>
      </c>
      <c r="D209" s="5" t="str">
        <f t="shared" si="8"/>
        <v>Assigned</v>
      </c>
    </row>
    <row r="210" spans="1:4" x14ac:dyDescent="0.25">
      <c r="A210" s="5">
        <f t="shared" si="7"/>
        <v>208</v>
      </c>
      <c r="B210" s="4" t="s">
        <v>278</v>
      </c>
      <c r="C210" s="5" t="s">
        <v>24</v>
      </c>
      <c r="D210" s="5" t="str">
        <f t="shared" si="8"/>
        <v>Assigned</v>
      </c>
    </row>
    <row r="211" spans="1:4" x14ac:dyDescent="0.25">
      <c r="A211" s="5">
        <f t="shared" si="7"/>
        <v>209</v>
      </c>
      <c r="B211" s="4" t="s">
        <v>279</v>
      </c>
      <c r="C211" s="5" t="s">
        <v>24</v>
      </c>
      <c r="D211" s="5" t="s">
        <v>54</v>
      </c>
    </row>
    <row r="212" spans="1:4" hidden="1" x14ac:dyDescent="0.25">
      <c r="A212" s="5" t="str">
        <f t="shared" si="7"/>
        <v/>
      </c>
      <c r="D212" s="5" t="str">
        <f t="shared" si="8"/>
        <v/>
      </c>
    </row>
    <row r="213" spans="1:4" hidden="1" x14ac:dyDescent="0.25">
      <c r="A213" s="5" t="str">
        <f t="shared" si="7"/>
        <v/>
      </c>
      <c r="D213" s="5" t="str">
        <f t="shared" si="8"/>
        <v/>
      </c>
    </row>
    <row r="214" spans="1:4" hidden="1" x14ac:dyDescent="0.25">
      <c r="A214" s="5" t="str">
        <f t="shared" si="7"/>
        <v/>
      </c>
      <c r="D214" s="5" t="str">
        <f t="shared" si="8"/>
        <v/>
      </c>
    </row>
    <row r="215" spans="1:4" hidden="1" x14ac:dyDescent="0.25">
      <c r="A215" s="5" t="str">
        <f t="shared" si="7"/>
        <v/>
      </c>
      <c r="D215" s="5" t="str">
        <f t="shared" si="8"/>
        <v/>
      </c>
    </row>
    <row r="216" spans="1:4" hidden="1" x14ac:dyDescent="0.25">
      <c r="A216" s="5" t="str">
        <f t="shared" si="7"/>
        <v/>
      </c>
      <c r="D216" s="5" t="str">
        <f t="shared" si="8"/>
        <v/>
      </c>
    </row>
    <row r="217" spans="1:4" hidden="1" x14ac:dyDescent="0.25">
      <c r="A217" s="5" t="str">
        <f t="shared" si="7"/>
        <v/>
      </c>
      <c r="D217" s="5" t="str">
        <f t="shared" si="8"/>
        <v/>
      </c>
    </row>
    <row r="218" spans="1:4" hidden="1" x14ac:dyDescent="0.25">
      <c r="A218" s="5" t="str">
        <f t="shared" si="7"/>
        <v/>
      </c>
      <c r="D218" s="5" t="str">
        <f t="shared" si="8"/>
        <v/>
      </c>
    </row>
    <row r="219" spans="1:4" hidden="1" x14ac:dyDescent="0.25">
      <c r="A219" s="5" t="str">
        <f t="shared" si="7"/>
        <v/>
      </c>
      <c r="D219" s="5" t="str">
        <f t="shared" si="8"/>
        <v/>
      </c>
    </row>
    <row r="220" spans="1:4" hidden="1" x14ac:dyDescent="0.25">
      <c r="A220" s="5" t="str">
        <f t="shared" si="7"/>
        <v/>
      </c>
      <c r="D220" s="5" t="str">
        <f t="shared" si="8"/>
        <v/>
      </c>
    </row>
    <row r="221" spans="1:4" hidden="1" x14ac:dyDescent="0.25">
      <c r="A221" s="5" t="str">
        <f t="shared" si="7"/>
        <v/>
      </c>
      <c r="D221" s="5" t="str">
        <f t="shared" si="8"/>
        <v/>
      </c>
    </row>
    <row r="222" spans="1:4" hidden="1" x14ac:dyDescent="0.25">
      <c r="A222" s="5" t="str">
        <f t="shared" si="7"/>
        <v/>
      </c>
      <c r="D222" s="5" t="str">
        <f t="shared" si="8"/>
        <v/>
      </c>
    </row>
    <row r="223" spans="1:4" hidden="1" x14ac:dyDescent="0.25">
      <c r="A223" s="5" t="str">
        <f t="shared" si="7"/>
        <v/>
      </c>
      <c r="D223" s="5" t="str">
        <f t="shared" si="8"/>
        <v/>
      </c>
    </row>
    <row r="224" spans="1:4" hidden="1" x14ac:dyDescent="0.25">
      <c r="A224" s="5" t="str">
        <f t="shared" si="7"/>
        <v/>
      </c>
      <c r="D224" s="5" t="str">
        <f t="shared" si="8"/>
        <v/>
      </c>
    </row>
    <row r="225" spans="1:4" hidden="1" x14ac:dyDescent="0.25">
      <c r="A225" s="5" t="str">
        <f t="shared" si="7"/>
        <v/>
      </c>
      <c r="D225" s="5" t="str">
        <f t="shared" si="8"/>
        <v/>
      </c>
    </row>
    <row r="226" spans="1:4" hidden="1" x14ac:dyDescent="0.25">
      <c r="A226" s="5" t="str">
        <f t="shared" si="7"/>
        <v/>
      </c>
      <c r="D226" s="5" t="str">
        <f t="shared" si="8"/>
        <v/>
      </c>
    </row>
    <row r="227" spans="1:4" hidden="1" x14ac:dyDescent="0.25">
      <c r="A227" s="5" t="str">
        <f t="shared" si="7"/>
        <v/>
      </c>
      <c r="D227" s="5" t="str">
        <f t="shared" si="8"/>
        <v/>
      </c>
    </row>
    <row r="228" spans="1:4" hidden="1" x14ac:dyDescent="0.25">
      <c r="A228" s="5" t="str">
        <f t="shared" si="7"/>
        <v/>
      </c>
      <c r="D228" s="5" t="str">
        <f t="shared" si="8"/>
        <v/>
      </c>
    </row>
    <row r="229" spans="1:4" hidden="1" x14ac:dyDescent="0.25">
      <c r="A229" s="5" t="str">
        <f t="shared" si="7"/>
        <v/>
      </c>
      <c r="D229" s="5" t="str">
        <f t="shared" si="8"/>
        <v/>
      </c>
    </row>
    <row r="230" spans="1:4" hidden="1" x14ac:dyDescent="0.25">
      <c r="A230" s="5" t="str">
        <f t="shared" si="7"/>
        <v/>
      </c>
      <c r="D230" s="5" t="str">
        <f t="shared" si="8"/>
        <v/>
      </c>
    </row>
    <row r="231" spans="1:4" hidden="1" x14ac:dyDescent="0.25">
      <c r="A231" s="5" t="str">
        <f t="shared" ref="A231:A250" si="9">IF(B231&lt;&gt;"",A230+1,"")</f>
        <v/>
      </c>
      <c r="D231" s="5" t="str">
        <f t="shared" si="8"/>
        <v/>
      </c>
    </row>
    <row r="232" spans="1:4" hidden="1" x14ac:dyDescent="0.25">
      <c r="A232" s="5" t="str">
        <f t="shared" si="9"/>
        <v/>
      </c>
      <c r="D232" s="5" t="str">
        <f t="shared" si="8"/>
        <v/>
      </c>
    </row>
    <row r="233" spans="1:4" hidden="1" x14ac:dyDescent="0.25">
      <c r="A233" s="5" t="str">
        <f t="shared" si="9"/>
        <v/>
      </c>
      <c r="D233" s="5" t="str">
        <f t="shared" si="8"/>
        <v/>
      </c>
    </row>
    <row r="234" spans="1:4" hidden="1" x14ac:dyDescent="0.25">
      <c r="A234" s="5" t="str">
        <f t="shared" si="9"/>
        <v/>
      </c>
      <c r="D234" s="5" t="str">
        <f t="shared" si="8"/>
        <v/>
      </c>
    </row>
    <row r="235" spans="1:4" hidden="1" x14ac:dyDescent="0.25">
      <c r="A235" s="5" t="str">
        <f t="shared" si="9"/>
        <v/>
      </c>
      <c r="D235" s="5" t="str">
        <f t="shared" si="8"/>
        <v/>
      </c>
    </row>
    <row r="236" spans="1:4" hidden="1" x14ac:dyDescent="0.25">
      <c r="A236" s="5" t="str">
        <f t="shared" si="9"/>
        <v/>
      </c>
      <c r="D236" s="5" t="str">
        <f t="shared" si="8"/>
        <v/>
      </c>
    </row>
    <row r="237" spans="1:4" hidden="1" x14ac:dyDescent="0.25">
      <c r="A237" s="5" t="str">
        <f t="shared" si="9"/>
        <v/>
      </c>
      <c r="D237" s="5" t="str">
        <f t="shared" si="8"/>
        <v/>
      </c>
    </row>
    <row r="238" spans="1:4" hidden="1" x14ac:dyDescent="0.25">
      <c r="A238" s="5" t="str">
        <f t="shared" si="9"/>
        <v/>
      </c>
      <c r="D238" s="5" t="str">
        <f t="shared" si="8"/>
        <v/>
      </c>
    </row>
    <row r="239" spans="1:4" hidden="1" x14ac:dyDescent="0.25">
      <c r="A239" s="5" t="str">
        <f t="shared" si="9"/>
        <v/>
      </c>
      <c r="D239" s="5" t="str">
        <f t="shared" si="8"/>
        <v/>
      </c>
    </row>
    <row r="240" spans="1:4" hidden="1" x14ac:dyDescent="0.25">
      <c r="A240" s="5" t="str">
        <f t="shared" si="9"/>
        <v/>
      </c>
      <c r="D240" s="5" t="str">
        <f t="shared" ref="D240:D246" si="10">IF(C240 &lt;&gt; 0,"Assigned","")</f>
        <v/>
      </c>
    </row>
    <row r="241" spans="1:4" hidden="1" x14ac:dyDescent="0.25">
      <c r="A241" s="5" t="str">
        <f t="shared" si="9"/>
        <v/>
      </c>
      <c r="D241" s="5" t="str">
        <f t="shared" si="10"/>
        <v/>
      </c>
    </row>
    <row r="242" spans="1:4" hidden="1" x14ac:dyDescent="0.25">
      <c r="A242" s="5" t="str">
        <f t="shared" si="9"/>
        <v/>
      </c>
      <c r="D242" s="5" t="str">
        <f t="shared" si="10"/>
        <v/>
      </c>
    </row>
    <row r="243" spans="1:4" hidden="1" x14ac:dyDescent="0.25">
      <c r="A243" s="5" t="str">
        <f t="shared" si="9"/>
        <v/>
      </c>
      <c r="D243" s="5" t="str">
        <f t="shared" si="10"/>
        <v/>
      </c>
    </row>
    <row r="244" spans="1:4" hidden="1" x14ac:dyDescent="0.25">
      <c r="A244" s="5" t="str">
        <f t="shared" si="9"/>
        <v/>
      </c>
      <c r="D244" s="5" t="str">
        <f t="shared" si="10"/>
        <v/>
      </c>
    </row>
    <row r="245" spans="1:4" hidden="1" x14ac:dyDescent="0.25">
      <c r="A245" s="5" t="str">
        <f t="shared" si="9"/>
        <v/>
      </c>
      <c r="D245" s="5" t="str">
        <f t="shared" si="10"/>
        <v/>
      </c>
    </row>
    <row r="246" spans="1:4" hidden="1" x14ac:dyDescent="0.25">
      <c r="A246" s="5" t="str">
        <f t="shared" si="9"/>
        <v/>
      </c>
      <c r="D246" s="5" t="str">
        <f t="shared" si="10"/>
        <v/>
      </c>
    </row>
    <row r="247" spans="1:4" hidden="1" x14ac:dyDescent="0.25">
      <c r="A247" s="5" t="str">
        <f t="shared" si="9"/>
        <v/>
      </c>
    </row>
    <row r="248" spans="1:4" hidden="1" x14ac:dyDescent="0.25">
      <c r="A248" s="5" t="str">
        <f t="shared" si="9"/>
        <v/>
      </c>
    </row>
    <row r="249" spans="1:4" hidden="1" x14ac:dyDescent="0.25">
      <c r="A249" s="5" t="str">
        <f t="shared" si="9"/>
        <v/>
      </c>
    </row>
    <row r="250" spans="1:4" hidden="1" x14ac:dyDescent="0.25">
      <c r="A250" s="5" t="str">
        <f t="shared" si="9"/>
        <v/>
      </c>
    </row>
    <row r="253" spans="1:4" x14ac:dyDescent="0.25">
      <c r="B253" s="35"/>
    </row>
    <row r="255" spans="1:4" x14ac:dyDescent="0.25">
      <c r="C255" s="13"/>
    </row>
  </sheetData>
  <autoFilter ref="A2:H250">
    <filterColumn colId="3">
      <filters>
        <filter val="Assigned"/>
      </filters>
    </filterColumn>
  </autoFilter>
  <conditionalFormatting sqref="D1:E3 D90:D96 D98:E100 D4:D88 D101 D102:E113 D114:D119 D240:E1048576 D144 D120:E142 D145:E196 E197:E239">
    <cfRule type="containsText" dxfId="23" priority="31" operator="containsText" text="InProgress">
      <formula>NOT(ISERROR(SEARCH("InProgress",D1)))</formula>
    </cfRule>
    <cfRule type="containsText" dxfId="22" priority="32" operator="containsText" text="assigned">
      <formula>NOT(ISERROR(SEARCH("assigned",D1)))</formula>
    </cfRule>
    <cfRule type="beginsWith" dxfId="21" priority="33" operator="beginsWith" text="Completed">
      <formula>LEFT(D1,LEN("Completed"))="Completed"</formula>
    </cfRule>
  </conditionalFormatting>
  <conditionalFormatting sqref="D89">
    <cfRule type="containsText" dxfId="20" priority="16" operator="containsText" text="InProgress">
      <formula>NOT(ISERROR(SEARCH("InProgress",D89)))</formula>
    </cfRule>
    <cfRule type="containsText" dxfId="19" priority="17" operator="containsText" text="assigned">
      <formula>NOT(ISERROR(SEARCH("assigned",D89)))</formula>
    </cfRule>
    <cfRule type="beginsWith" dxfId="18" priority="18" operator="beginsWith" text="Completed">
      <formula>LEFT(D89,LEN("Completed"))="Completed"</formula>
    </cfRule>
  </conditionalFormatting>
  <conditionalFormatting sqref="D97">
    <cfRule type="containsText" dxfId="17" priority="13" operator="containsText" text="InProgress">
      <formula>NOT(ISERROR(SEARCH("InProgress",D97)))</formula>
    </cfRule>
    <cfRule type="containsText" dxfId="16" priority="14" operator="containsText" text="assigned">
      <formula>NOT(ISERROR(SEARCH("assigned",D97)))</formula>
    </cfRule>
    <cfRule type="beginsWith" dxfId="15" priority="15" operator="beginsWith" text="Completed">
      <formula>LEFT(D97,LEN("Completed"))="Completed"</formula>
    </cfRule>
  </conditionalFormatting>
  <conditionalFormatting sqref="E4:E97">
    <cfRule type="containsText" dxfId="14" priority="10" operator="containsText" text="InProgress">
      <formula>NOT(ISERROR(SEARCH("InProgress",E4)))</formula>
    </cfRule>
    <cfRule type="containsText" dxfId="13" priority="11" operator="containsText" text="assigned">
      <formula>NOT(ISERROR(SEARCH("assigned",E4)))</formula>
    </cfRule>
    <cfRule type="beginsWith" dxfId="12" priority="12" operator="beginsWith" text="Completed">
      <formula>LEFT(E4,LEN("Completed"))="Completed"</formula>
    </cfRule>
  </conditionalFormatting>
  <conditionalFormatting sqref="E114:E119">
    <cfRule type="containsText" dxfId="11" priority="7" operator="containsText" text="InProgress">
      <formula>NOT(ISERROR(SEARCH("InProgress",E114)))</formula>
    </cfRule>
    <cfRule type="containsText" dxfId="10" priority="8" operator="containsText" text="assigned">
      <formula>NOT(ISERROR(SEARCH("assigned",E114)))</formula>
    </cfRule>
    <cfRule type="beginsWith" dxfId="9" priority="9" operator="beginsWith" text="Completed">
      <formula>LEFT(E114,LEN("Completed"))="Completed"</formula>
    </cfRule>
  </conditionalFormatting>
  <conditionalFormatting sqref="D143">
    <cfRule type="containsText" dxfId="8" priority="4" operator="containsText" text="InProgress">
      <formula>NOT(ISERROR(SEARCH("InProgress",D143)))</formula>
    </cfRule>
    <cfRule type="containsText" dxfId="7" priority="5" operator="containsText" text="assigned">
      <formula>NOT(ISERROR(SEARCH("assigned",D143)))</formula>
    </cfRule>
    <cfRule type="beginsWith" dxfId="6" priority="6" operator="beginsWith" text="Completed">
      <formula>LEFT(D143,LEN("Completed"))="Completed"</formula>
    </cfRule>
  </conditionalFormatting>
  <conditionalFormatting sqref="D197:D239">
    <cfRule type="containsText" dxfId="5" priority="1" operator="containsText" text="InProgress">
      <formula>NOT(ISERROR(SEARCH("InProgress",D197)))</formula>
    </cfRule>
    <cfRule type="containsText" dxfId="4" priority="2" operator="containsText" text="assigned">
      <formula>NOT(ISERROR(SEARCH("assigned",D197)))</formula>
    </cfRule>
    <cfRule type="beginsWith" dxfId="3" priority="3" operator="beginsWith" text="Completed">
      <formula>LEFT(D197,LEN("Completed"))="Completed"</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1"/>
  <sheetViews>
    <sheetView topLeftCell="A15" workbookViewId="0">
      <selection activeCell="C22" sqref="C22"/>
    </sheetView>
  </sheetViews>
  <sheetFormatPr defaultRowHeight="15" x14ac:dyDescent="0.25"/>
  <cols>
    <col min="2" max="2" width="17.85546875" customWidth="1"/>
    <col min="4" max="4" width="23.28515625" customWidth="1"/>
    <col min="5" max="5" width="25.5703125" customWidth="1"/>
    <col min="6" max="6" width="17" customWidth="1"/>
    <col min="7" max="7" width="20" customWidth="1"/>
    <col min="8" max="8" width="16.28515625" customWidth="1"/>
  </cols>
  <sheetData>
    <row r="2" spans="1:8" ht="15.75" thickBot="1" x14ac:dyDescent="0.3"/>
    <row r="3" spans="1:8" ht="15.75" thickBot="1" x14ac:dyDescent="0.3">
      <c r="B3" s="3" t="s">
        <v>15</v>
      </c>
    </row>
    <row r="4" spans="1:8" ht="15.75" thickBot="1" x14ac:dyDescent="0.3">
      <c r="B4" s="3" t="s">
        <v>16</v>
      </c>
    </row>
    <row r="5" spans="1:8" ht="15.75" thickBot="1" x14ac:dyDescent="0.3">
      <c r="B5" s="3" t="s">
        <v>17</v>
      </c>
    </row>
    <row r="6" spans="1:8" ht="15.75" thickBot="1" x14ac:dyDescent="0.3">
      <c r="B6" s="3" t="s">
        <v>18</v>
      </c>
    </row>
    <row r="7" spans="1:8" ht="15.75" thickBot="1" x14ac:dyDescent="0.3">
      <c r="B7" s="3" t="s">
        <v>19</v>
      </c>
    </row>
    <row r="8" spans="1:8" ht="15.75" thickBot="1" x14ac:dyDescent="0.3">
      <c r="B8" s="3" t="s">
        <v>20</v>
      </c>
    </row>
    <row r="9" spans="1:8" ht="15.75" thickBot="1" x14ac:dyDescent="0.3">
      <c r="B9" s="3" t="s">
        <v>21</v>
      </c>
    </row>
    <row r="10" spans="1:8" x14ac:dyDescent="0.25">
      <c r="F10" s="15" t="s">
        <v>61</v>
      </c>
      <c r="G10" s="15" t="s">
        <v>62</v>
      </c>
      <c r="H10" s="8" t="s">
        <v>281</v>
      </c>
    </row>
    <row r="11" spans="1:8" x14ac:dyDescent="0.25">
      <c r="F11" s="15" t="s">
        <v>280</v>
      </c>
      <c r="G11" s="15" t="s">
        <v>62</v>
      </c>
      <c r="H11" s="8" t="s">
        <v>282</v>
      </c>
    </row>
    <row r="13" spans="1:8" ht="15.75" x14ac:dyDescent="0.25">
      <c r="E13" s="41"/>
      <c r="F13" s="41"/>
      <c r="G13" s="41"/>
    </row>
    <row r="14" spans="1:8" x14ac:dyDescent="0.25">
      <c r="E14" s="7"/>
      <c r="F14" s="7"/>
      <c r="G14" s="7"/>
    </row>
    <row r="15" spans="1:8" x14ac:dyDescent="0.25">
      <c r="E15" s="25"/>
      <c r="F15" s="25"/>
      <c r="G15" s="39"/>
    </row>
    <row r="16" spans="1:8" x14ac:dyDescent="0.25">
      <c r="A16" s="39"/>
      <c r="E16" s="39"/>
      <c r="F16" s="39"/>
      <c r="G16" s="39"/>
    </row>
    <row r="17" spans="2:11" x14ac:dyDescent="0.25">
      <c r="E17" s="54"/>
      <c r="F17" s="54"/>
      <c r="G17" s="54"/>
      <c r="H17" s="54"/>
    </row>
    <row r="18" spans="2:11" x14ac:dyDescent="0.25">
      <c r="E18" s="54"/>
      <c r="F18" s="55"/>
      <c r="G18" s="54"/>
      <c r="H18" s="54"/>
    </row>
    <row r="19" spans="2:11" x14ac:dyDescent="0.25">
      <c r="B19" t="s">
        <v>118</v>
      </c>
      <c r="C19" t="s">
        <v>101</v>
      </c>
      <c r="E19" s="56"/>
      <c r="F19" s="56"/>
      <c r="G19" s="56"/>
      <c r="H19" s="54"/>
    </row>
    <row r="20" spans="2:11" x14ac:dyDescent="0.25">
      <c r="C20" t="s">
        <v>102</v>
      </c>
      <c r="E20" s="56"/>
      <c r="F20" s="56"/>
      <c r="G20" s="56"/>
      <c r="H20" s="54"/>
    </row>
    <row r="21" spans="2:11" x14ac:dyDescent="0.25">
      <c r="C21" s="13" t="s">
        <v>103</v>
      </c>
      <c r="E21" s="57"/>
      <c r="F21" s="54"/>
      <c r="G21" s="54"/>
      <c r="H21" s="54"/>
    </row>
    <row r="22" spans="2:11" x14ac:dyDescent="0.25">
      <c r="E22" s="56"/>
      <c r="F22" s="56"/>
      <c r="G22" s="56"/>
      <c r="H22" s="54"/>
    </row>
    <row r="23" spans="2:11" x14ac:dyDescent="0.25">
      <c r="E23" s="56"/>
      <c r="F23" s="56"/>
      <c r="G23" s="56"/>
      <c r="H23" s="54"/>
      <c r="K23" s="8"/>
    </row>
    <row r="24" spans="2:11" x14ac:dyDescent="0.25">
      <c r="B24" t="s">
        <v>117</v>
      </c>
      <c r="C24" t="s">
        <v>116</v>
      </c>
      <c r="E24" s="56"/>
      <c r="F24" s="56"/>
      <c r="G24" s="56"/>
      <c r="H24" s="54"/>
    </row>
    <row r="25" spans="2:11" x14ac:dyDescent="0.25">
      <c r="C25" t="s">
        <v>102</v>
      </c>
      <c r="E25" s="54"/>
      <c r="F25" s="54"/>
      <c r="G25" s="54"/>
      <c r="H25" s="54"/>
    </row>
    <row r="26" spans="2:11" x14ac:dyDescent="0.25">
      <c r="C26" s="13" t="s">
        <v>103</v>
      </c>
      <c r="E26" s="56"/>
      <c r="F26" s="56"/>
      <c r="G26" s="56"/>
      <c r="H26" s="54"/>
      <c r="K26" s="8"/>
    </row>
    <row r="27" spans="2:11" x14ac:dyDescent="0.25">
      <c r="E27" s="39"/>
      <c r="F27" s="39"/>
      <c r="G27" s="39"/>
    </row>
    <row r="28" spans="2:11" x14ac:dyDescent="0.25">
      <c r="B28" t="s">
        <v>233</v>
      </c>
      <c r="C28" t="s">
        <v>232</v>
      </c>
      <c r="E28" s="40"/>
      <c r="G28" s="39"/>
    </row>
    <row r="30" spans="2:11" x14ac:dyDescent="0.25">
      <c r="C30" t="s">
        <v>234</v>
      </c>
      <c r="E30" s="39"/>
      <c r="F30" s="39"/>
      <c r="G30" s="39"/>
      <c r="K30" s="8"/>
    </row>
    <row r="31" spans="2:11" x14ac:dyDescent="0.25">
      <c r="C31" s="13" t="s">
        <v>235</v>
      </c>
      <c r="E31" s="39"/>
      <c r="F31" s="39"/>
      <c r="G31" s="39"/>
    </row>
    <row r="32" spans="2:11" x14ac:dyDescent="0.25">
      <c r="F32" s="8"/>
      <c r="G32" s="39"/>
      <c r="H32" s="8"/>
    </row>
    <row r="33" spans="2:8" x14ac:dyDescent="0.25">
      <c r="C33" s="13" t="s">
        <v>293</v>
      </c>
      <c r="E33" s="39"/>
      <c r="F33" s="39"/>
      <c r="G33" s="39"/>
      <c r="H33" s="5"/>
    </row>
    <row r="34" spans="2:8" x14ac:dyDescent="0.25">
      <c r="E34" s="39"/>
      <c r="G34" s="39"/>
      <c r="H34" s="8"/>
    </row>
    <row r="35" spans="2:8" x14ac:dyDescent="0.25">
      <c r="B35" s="8" t="s">
        <v>266</v>
      </c>
    </row>
    <row r="37" spans="2:8" x14ac:dyDescent="0.25">
      <c r="B37" t="s">
        <v>263</v>
      </c>
      <c r="G37" s="25"/>
      <c r="H37" s="25"/>
    </row>
    <row r="38" spans="2:8" x14ac:dyDescent="0.25">
      <c r="B38" t="s">
        <v>264</v>
      </c>
    </row>
    <row r="39" spans="2:8" x14ac:dyDescent="0.25">
      <c r="B39" s="13" t="s">
        <v>265</v>
      </c>
      <c r="E39" s="39"/>
      <c r="F39" s="39"/>
      <c r="G39" s="39"/>
    </row>
    <row r="40" spans="2:8" x14ac:dyDescent="0.25">
      <c r="E40" s="39"/>
      <c r="F40" s="39"/>
      <c r="G40" s="39"/>
    </row>
    <row r="41" spans="2:8" x14ac:dyDescent="0.25">
      <c r="G41" s="39"/>
    </row>
  </sheetData>
  <conditionalFormatting sqref="G1:G8 G35:G36 H33 G38 G42:G1048576">
    <cfRule type="containsText" dxfId="2" priority="1" operator="containsText" text="InProgress">
      <formula>NOT(ISERROR(SEARCH("InProgress",G1)))</formula>
    </cfRule>
    <cfRule type="containsText" dxfId="1" priority="2" operator="containsText" text="NotCompleted">
      <formula>NOT(ISERROR(SEARCH("NotCompleted",G1)))</formula>
    </cfRule>
    <cfRule type="containsText" dxfId="0" priority="3" operator="containsText" text="Completed">
      <formula>NOT(ISERROR(SEARCH("Completed",G1)))</formula>
    </cfRule>
  </conditionalFormatting>
  <hyperlinks>
    <hyperlink ref="C21" r:id="rId1"/>
    <hyperlink ref="C26" r:id="rId2"/>
    <hyperlink ref="C31" r:id="rId3" display="Password@3"/>
    <hyperlink ref="B39" r:id="rId4"/>
    <hyperlink ref="C33" r:id="rId5" display="Passcode@4"/>
  </hyperlinks>
  <pageMargins left="0.7" right="0.7" top="0.75" bottom="0.75" header="0.3" footer="0.3"/>
  <pageSetup orientation="portrait" verticalDpi="0"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opLeftCell="A13" workbookViewId="0">
      <selection activeCell="B4" sqref="B4"/>
    </sheetView>
  </sheetViews>
  <sheetFormatPr defaultRowHeight="15" x14ac:dyDescent="0.25"/>
  <cols>
    <col min="1" max="1" width="22.140625" style="21" customWidth="1"/>
    <col min="2" max="2" width="93.42578125" customWidth="1"/>
    <col min="3" max="3" width="46.7109375" customWidth="1"/>
    <col min="4" max="4" width="64.7109375" customWidth="1"/>
    <col min="7" max="7" width="15.7109375" customWidth="1"/>
    <col min="8" max="8" width="21.7109375" customWidth="1"/>
    <col min="9" max="9" width="16.28515625" bestFit="1" customWidth="1"/>
  </cols>
  <sheetData>
    <row r="1" spans="1:9" x14ac:dyDescent="0.25">
      <c r="B1" s="8" t="s">
        <v>132</v>
      </c>
    </row>
    <row r="2" spans="1:9" ht="46.5" customHeight="1" x14ac:dyDescent="0.3">
      <c r="B2" s="21" t="s">
        <v>220</v>
      </c>
      <c r="C2" s="37" t="s">
        <v>287</v>
      </c>
    </row>
    <row r="3" spans="1:9" ht="45" x14ac:dyDescent="0.25">
      <c r="B3" s="21" t="s">
        <v>221</v>
      </c>
      <c r="C3" s="21"/>
      <c r="H3" s="8"/>
    </row>
    <row r="4" spans="1:9" ht="300" x14ac:dyDescent="0.25">
      <c r="B4" s="21" t="s">
        <v>135</v>
      </c>
      <c r="C4" s="21" t="s">
        <v>288</v>
      </c>
      <c r="H4" s="14"/>
      <c r="I4" s="14"/>
    </row>
    <row r="5" spans="1:9" ht="45" x14ac:dyDescent="0.25">
      <c r="B5" s="21" t="s">
        <v>136</v>
      </c>
    </row>
    <row r="6" spans="1:9" ht="45" x14ac:dyDescent="0.25">
      <c r="B6" s="21" t="s">
        <v>137</v>
      </c>
      <c r="H6" s="15"/>
      <c r="I6" s="15"/>
    </row>
    <row r="7" spans="1:9" ht="45" x14ac:dyDescent="0.25">
      <c r="B7" s="21" t="s">
        <v>134</v>
      </c>
      <c r="G7" s="8"/>
      <c r="H7" s="8"/>
      <c r="I7" s="8"/>
    </row>
    <row r="8" spans="1:9" ht="45" x14ac:dyDescent="0.25">
      <c r="B8" s="21" t="s">
        <v>138</v>
      </c>
    </row>
    <row r="9" spans="1:9" ht="45" x14ac:dyDescent="0.25">
      <c r="B9" s="21" t="s">
        <v>139</v>
      </c>
    </row>
    <row r="10" spans="1:9" ht="60" x14ac:dyDescent="0.25">
      <c r="B10" s="21" t="s">
        <v>140</v>
      </c>
    </row>
    <row r="11" spans="1:9" ht="45" x14ac:dyDescent="0.25">
      <c r="B11" s="21" t="s">
        <v>141</v>
      </c>
    </row>
    <row r="12" spans="1:9" ht="45" x14ac:dyDescent="0.25">
      <c r="B12" s="21" t="s">
        <v>142</v>
      </c>
    </row>
    <row r="13" spans="1:9" ht="45" x14ac:dyDescent="0.25">
      <c r="B13" s="21" t="s">
        <v>133</v>
      </c>
    </row>
    <row r="14" spans="1:9" ht="256.5" x14ac:dyDescent="0.35">
      <c r="A14" s="38" t="s">
        <v>289</v>
      </c>
      <c r="B14" s="21" t="s">
        <v>285</v>
      </c>
      <c r="H14" s="6"/>
    </row>
    <row r="15" spans="1:9" ht="45" x14ac:dyDescent="0.25">
      <c r="A15" s="33" t="s">
        <v>291</v>
      </c>
      <c r="B15" s="21" t="s">
        <v>290</v>
      </c>
      <c r="G15" s="22"/>
      <c r="H15" s="22"/>
    </row>
    <row r="16" spans="1:9" ht="60" x14ac:dyDescent="0.25">
      <c r="B16" s="21" t="s">
        <v>292</v>
      </c>
      <c r="G16" s="22"/>
      <c r="H16" s="22"/>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9"/>
  <sheetViews>
    <sheetView tabSelected="1" topLeftCell="A39" workbookViewId="0">
      <selection activeCell="B39" sqref="B39"/>
    </sheetView>
  </sheetViews>
  <sheetFormatPr defaultRowHeight="15" x14ac:dyDescent="0.25"/>
  <cols>
    <col min="1" max="1" width="23" customWidth="1"/>
    <col min="2" max="2" width="108.140625" customWidth="1"/>
    <col min="3" max="3" width="14.85546875" customWidth="1"/>
  </cols>
  <sheetData>
    <row r="3" spans="1:2" ht="75" x14ac:dyDescent="0.25">
      <c r="B3" s="21" t="s">
        <v>149</v>
      </c>
    </row>
    <row r="4" spans="1:2" ht="60" x14ac:dyDescent="0.25">
      <c r="B4" s="21" t="s">
        <v>150</v>
      </c>
    </row>
    <row r="5" spans="1:2" ht="45" x14ac:dyDescent="0.25">
      <c r="B5" s="21" t="s">
        <v>151</v>
      </c>
    </row>
    <row r="6" spans="1:2" ht="75" x14ac:dyDescent="0.25">
      <c r="B6" s="21" t="s">
        <v>152</v>
      </c>
    </row>
    <row r="7" spans="1:2" ht="60" x14ac:dyDescent="0.25">
      <c r="B7" s="21" t="s">
        <v>153</v>
      </c>
    </row>
    <row r="8" spans="1:2" ht="120" x14ac:dyDescent="0.25">
      <c r="B8" s="21" t="s">
        <v>154</v>
      </c>
    </row>
    <row r="9" spans="1:2" ht="45" x14ac:dyDescent="0.25">
      <c r="B9" s="21" t="s">
        <v>156</v>
      </c>
    </row>
    <row r="10" spans="1:2" ht="120" x14ac:dyDescent="0.25">
      <c r="B10" s="21" t="s">
        <v>155</v>
      </c>
    </row>
    <row r="11" spans="1:2" ht="195" x14ac:dyDescent="0.25">
      <c r="B11" s="21" t="s">
        <v>158</v>
      </c>
    </row>
    <row r="12" spans="1:2" ht="45" x14ac:dyDescent="0.25">
      <c r="A12" t="s">
        <v>283</v>
      </c>
      <c r="B12" s="21" t="s">
        <v>284</v>
      </c>
    </row>
    <row r="15" spans="1:2" ht="255" x14ac:dyDescent="0.25">
      <c r="A15" s="2" t="s">
        <v>286</v>
      </c>
      <c r="B15" s="21" t="s">
        <v>285</v>
      </c>
    </row>
    <row r="16" spans="1:2" ht="195" x14ac:dyDescent="0.25">
      <c r="A16" t="s">
        <v>295</v>
      </c>
      <c r="B16" s="21" t="s">
        <v>294</v>
      </c>
    </row>
    <row r="17" spans="1:2" x14ac:dyDescent="0.25">
      <c r="B17" s="21"/>
    </row>
    <row r="18" spans="1:2" x14ac:dyDescent="0.25">
      <c r="A18" t="s">
        <v>313</v>
      </c>
    </row>
    <row r="19" spans="1:2" ht="120" x14ac:dyDescent="0.25">
      <c r="A19" s="21" t="s">
        <v>314</v>
      </c>
      <c r="B19" s="21" t="s">
        <v>315</v>
      </c>
    </row>
    <row r="21" spans="1:2" ht="135" x14ac:dyDescent="0.25">
      <c r="A21" t="s">
        <v>316</v>
      </c>
      <c r="B21" s="21" t="s">
        <v>317</v>
      </c>
    </row>
    <row r="23" spans="1:2" ht="45" x14ac:dyDescent="0.25">
      <c r="A23" t="s">
        <v>318</v>
      </c>
      <c r="B23" s="21" t="s">
        <v>319</v>
      </c>
    </row>
    <row r="24" spans="1:2" ht="150" x14ac:dyDescent="0.25">
      <c r="A24" t="s">
        <v>398</v>
      </c>
      <c r="B24" s="21" t="s">
        <v>441</v>
      </c>
    </row>
    <row r="25" spans="1:2" x14ac:dyDescent="0.25">
      <c r="A25" t="s">
        <v>320</v>
      </c>
      <c r="B25" s="21"/>
    </row>
    <row r="27" spans="1:2" ht="210" x14ac:dyDescent="0.25">
      <c r="B27" s="21" t="s">
        <v>321</v>
      </c>
    </row>
    <row r="31" spans="1:2" x14ac:dyDescent="0.25">
      <c r="A31" s="8" t="s">
        <v>399</v>
      </c>
    </row>
    <row r="33" spans="1:2" ht="30" x14ac:dyDescent="0.25">
      <c r="A33" t="s">
        <v>402</v>
      </c>
      <c r="B33" s="21" t="s">
        <v>403</v>
      </c>
    </row>
    <row r="34" spans="1:2" ht="45" x14ac:dyDescent="0.25">
      <c r="A34" t="s">
        <v>400</v>
      </c>
      <c r="B34" s="21" t="s">
        <v>401</v>
      </c>
    </row>
    <row r="35" spans="1:2" ht="150" x14ac:dyDescent="0.25">
      <c r="A35" t="s">
        <v>405</v>
      </c>
      <c r="B35" s="21" t="s">
        <v>404</v>
      </c>
    </row>
    <row r="36" spans="1:2" ht="270" x14ac:dyDescent="0.25">
      <c r="A36" t="s">
        <v>426</v>
      </c>
      <c r="B36" s="21" t="s">
        <v>427</v>
      </c>
    </row>
    <row r="37" spans="1:2" ht="90" x14ac:dyDescent="0.25">
      <c r="A37" t="s">
        <v>430</v>
      </c>
      <c r="B37" s="21" t="s">
        <v>431</v>
      </c>
    </row>
    <row r="38" spans="1:2" ht="225" x14ac:dyDescent="0.25">
      <c r="B38" s="21" t="s">
        <v>442</v>
      </c>
    </row>
    <row r="39" spans="1:2" ht="270" x14ac:dyDescent="0.25">
      <c r="B39" s="21" t="s">
        <v>443</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ySplit="1" topLeftCell="A5" activePane="bottomLeft" state="frozen"/>
      <selection pane="bottomLeft" activeCell="C6" sqref="C6"/>
    </sheetView>
  </sheetViews>
  <sheetFormatPr defaultRowHeight="15" x14ac:dyDescent="0.25"/>
  <cols>
    <col min="1" max="1" width="4.85546875" style="47" customWidth="1"/>
    <col min="2" max="2" width="14.5703125" style="44" customWidth="1"/>
    <col min="3" max="3" width="14.28515625" style="44" customWidth="1"/>
    <col min="4" max="4" width="59.140625" style="47" customWidth="1"/>
    <col min="5" max="5" width="56.140625" style="53" customWidth="1"/>
    <col min="6" max="6" width="15.85546875" style="44" customWidth="1"/>
    <col min="7" max="7" width="15" style="44" customWidth="1"/>
    <col min="8" max="8" width="10" style="47" customWidth="1"/>
    <col min="9" max="16384" width="9.140625" style="47"/>
  </cols>
  <sheetData>
    <row r="1" spans="1:8" s="46" customFormat="1" ht="39.75" customHeight="1" x14ac:dyDescent="0.25">
      <c r="A1" s="45" t="s">
        <v>296</v>
      </c>
      <c r="B1" s="42" t="s">
        <v>297</v>
      </c>
      <c r="C1" s="42" t="s">
        <v>298</v>
      </c>
      <c r="D1" s="51" t="s">
        <v>308</v>
      </c>
      <c r="E1" s="51" t="s">
        <v>310</v>
      </c>
      <c r="F1" s="43" t="s">
        <v>300</v>
      </c>
      <c r="G1" s="49"/>
      <c r="H1" s="50"/>
    </row>
    <row r="2" spans="1:8" ht="285" x14ac:dyDescent="0.25">
      <c r="A2" s="47">
        <v>1</v>
      </c>
      <c r="B2" s="44" t="s">
        <v>299</v>
      </c>
      <c r="C2" s="44" t="s">
        <v>303</v>
      </c>
      <c r="D2" s="48" t="s">
        <v>311</v>
      </c>
      <c r="E2" s="52" t="s">
        <v>312</v>
      </c>
      <c r="F2" s="44" t="s">
        <v>301</v>
      </c>
      <c r="H2" s="44"/>
    </row>
    <row r="3" spans="1:8" ht="90" x14ac:dyDescent="0.25">
      <c r="D3" s="48" t="s">
        <v>304</v>
      </c>
      <c r="E3" s="53" t="s">
        <v>309</v>
      </c>
      <c r="F3" s="44" t="s">
        <v>302</v>
      </c>
      <c r="H3" s="44"/>
    </row>
    <row r="4" spans="1:8" ht="135" x14ac:dyDescent="0.25">
      <c r="D4" s="48" t="s">
        <v>307</v>
      </c>
      <c r="E4" s="52" t="s">
        <v>305</v>
      </c>
      <c r="F4" s="44" t="s">
        <v>306</v>
      </c>
    </row>
    <row r="6" spans="1:8" ht="30" x14ac:dyDescent="0.25">
      <c r="B6" s="44" t="s">
        <v>428</v>
      </c>
      <c r="D6" s="48" t="s">
        <v>429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
  <sheetViews>
    <sheetView workbookViewId="0">
      <selection activeCell="AN15" sqref="AN15"/>
    </sheetView>
  </sheetViews>
  <sheetFormatPr defaultRowHeight="15" x14ac:dyDescent="0.25"/>
  <cols>
    <col min="1" max="1" width="7.5703125" customWidth="1"/>
    <col min="2" max="2" width="25.42578125" customWidth="1"/>
    <col min="3" max="3" width="9.7109375" customWidth="1"/>
    <col min="4" max="6" width="0" hidden="1" customWidth="1"/>
    <col min="9" max="10" width="9.140625" hidden="1" customWidth="1"/>
    <col min="11" max="31" width="0" hidden="1" customWidth="1"/>
    <col min="33" max="33" width="15.42578125" hidden="1" customWidth="1"/>
    <col min="34" max="34" width="18.85546875" hidden="1" customWidth="1"/>
    <col min="35" max="36" width="0" hidden="1" customWidth="1"/>
    <col min="37" max="37" width="29.7109375" style="21" hidden="1" customWidth="1"/>
    <col min="38" max="38" width="12.5703125" bestFit="1" customWidth="1"/>
    <col min="39" max="39" width="14.28515625" bestFit="1" customWidth="1"/>
    <col min="40" max="40" width="15.5703125" bestFit="1" customWidth="1"/>
    <col min="41" max="41" width="9.5703125" bestFit="1" customWidth="1"/>
    <col min="42" max="42" width="11.140625" bestFit="1" customWidth="1"/>
    <col min="43" max="43" width="12.42578125" bestFit="1" customWidth="1"/>
    <col min="44" max="44" width="10.140625" bestFit="1" customWidth="1"/>
    <col min="45" max="45" width="11.7109375" bestFit="1" customWidth="1"/>
  </cols>
  <sheetData>
    <row r="1" spans="1:46" x14ac:dyDescent="0.25">
      <c r="A1" s="8" t="s">
        <v>322</v>
      </c>
    </row>
    <row r="2" spans="1:46" s="8" customFormat="1" x14ac:dyDescent="0.25">
      <c r="A2" s="8" t="s">
        <v>0</v>
      </c>
      <c r="B2" s="8" t="s">
        <v>323</v>
      </c>
      <c r="C2" s="8" t="s">
        <v>324</v>
      </c>
      <c r="D2" s="8" t="s">
        <v>325</v>
      </c>
      <c r="E2" s="8" t="s">
        <v>326</v>
      </c>
      <c r="F2" s="8" t="s">
        <v>327</v>
      </c>
      <c r="G2" s="8" t="s">
        <v>328</v>
      </c>
      <c r="H2" s="8" t="s">
        <v>329</v>
      </c>
      <c r="I2" s="8" t="s">
        <v>330</v>
      </c>
      <c r="J2" s="8" t="s">
        <v>331</v>
      </c>
      <c r="K2" s="8" t="s">
        <v>332</v>
      </c>
      <c r="L2" s="8" t="s">
        <v>333</v>
      </c>
      <c r="M2" s="8" t="s">
        <v>334</v>
      </c>
      <c r="N2" s="8" t="s">
        <v>335</v>
      </c>
      <c r="O2" s="8" t="s">
        <v>336</v>
      </c>
      <c r="P2" s="8" t="s">
        <v>337</v>
      </c>
      <c r="Q2" s="8" t="s">
        <v>338</v>
      </c>
      <c r="R2" s="8" t="s">
        <v>339</v>
      </c>
      <c r="S2" s="8" t="s">
        <v>340</v>
      </c>
      <c r="T2" s="8" t="s">
        <v>341</v>
      </c>
      <c r="U2" s="8" t="s">
        <v>342</v>
      </c>
      <c r="V2" s="8" t="s">
        <v>343</v>
      </c>
      <c r="W2" s="8" t="s">
        <v>344</v>
      </c>
      <c r="X2" s="8" t="s">
        <v>345</v>
      </c>
      <c r="Y2" s="8" t="s">
        <v>346</v>
      </c>
      <c r="Z2" s="8" t="s">
        <v>347</v>
      </c>
      <c r="AA2" s="8" t="s">
        <v>348</v>
      </c>
      <c r="AB2" s="8" t="s">
        <v>349</v>
      </c>
      <c r="AC2" s="8" t="s">
        <v>350</v>
      </c>
      <c r="AD2" s="8" t="s">
        <v>351</v>
      </c>
      <c r="AE2" s="8" t="s">
        <v>352</v>
      </c>
      <c r="AF2" s="8" t="s">
        <v>353</v>
      </c>
      <c r="AG2" s="8" t="s">
        <v>354</v>
      </c>
      <c r="AH2" s="8" t="s">
        <v>355</v>
      </c>
      <c r="AI2" s="8" t="s">
        <v>356</v>
      </c>
      <c r="AJ2" s="8" t="s">
        <v>357</v>
      </c>
      <c r="AK2" s="33" t="s">
        <v>358</v>
      </c>
      <c r="AL2" s="8" t="s">
        <v>359</v>
      </c>
      <c r="AM2" s="8" t="s">
        <v>360</v>
      </c>
      <c r="AN2" s="8" t="s">
        <v>361</v>
      </c>
      <c r="AO2" s="8" t="s">
        <v>362</v>
      </c>
      <c r="AP2" s="8" t="s">
        <v>363</v>
      </c>
      <c r="AQ2" s="8" t="s">
        <v>364</v>
      </c>
      <c r="AR2" s="8" t="s">
        <v>365</v>
      </c>
      <c r="AS2" s="8" t="s">
        <v>366</v>
      </c>
      <c r="AT2" s="8" t="s">
        <v>367</v>
      </c>
    </row>
    <row r="3" spans="1:46" x14ac:dyDescent="0.25">
      <c r="A3">
        <v>65</v>
      </c>
      <c r="B3" t="s">
        <v>384</v>
      </c>
      <c r="C3">
        <v>101</v>
      </c>
      <c r="D3" t="s">
        <v>369</v>
      </c>
      <c r="E3">
        <v>100</v>
      </c>
      <c r="F3" t="s">
        <v>370</v>
      </c>
      <c r="G3">
        <v>0</v>
      </c>
      <c r="H3" t="s">
        <v>322</v>
      </c>
      <c r="I3" t="s">
        <v>322</v>
      </c>
      <c r="J3" t="s">
        <v>374</v>
      </c>
      <c r="K3" t="s">
        <v>374</v>
      </c>
      <c r="L3" t="s">
        <v>374</v>
      </c>
      <c r="M3" t="s">
        <v>374</v>
      </c>
      <c r="N3" t="s">
        <v>374</v>
      </c>
      <c r="O3" t="s">
        <v>374</v>
      </c>
      <c r="P3" t="s">
        <v>374</v>
      </c>
      <c r="Q3" t="s">
        <v>374</v>
      </c>
      <c r="R3" t="s">
        <v>374</v>
      </c>
      <c r="S3" t="s">
        <v>374</v>
      </c>
      <c r="T3" t="s">
        <v>374</v>
      </c>
      <c r="U3" t="s">
        <v>374</v>
      </c>
      <c r="V3" t="s">
        <v>374</v>
      </c>
      <c r="W3" t="s">
        <v>374</v>
      </c>
      <c r="X3" t="s">
        <v>374</v>
      </c>
      <c r="Y3" t="s">
        <v>374</v>
      </c>
      <c r="Z3" t="s">
        <v>374</v>
      </c>
      <c r="AA3" t="s">
        <v>374</v>
      </c>
      <c r="AB3" t="s">
        <v>374</v>
      </c>
      <c r="AC3" t="s">
        <v>374</v>
      </c>
      <c r="AD3" t="s">
        <v>374</v>
      </c>
      <c r="AE3" t="s">
        <v>374</v>
      </c>
      <c r="AF3">
        <v>1</v>
      </c>
      <c r="AG3" s="58">
        <v>43159.548254895832</v>
      </c>
      <c r="AH3" s="58">
        <v>43158.548254895832</v>
      </c>
      <c r="AI3" t="s">
        <v>375</v>
      </c>
      <c r="AJ3" t="s">
        <v>375</v>
      </c>
      <c r="AK3" s="21" t="s">
        <v>384</v>
      </c>
      <c r="AL3" s="59">
        <v>0</v>
      </c>
      <c r="AM3" s="60" t="s">
        <v>385</v>
      </c>
      <c r="AN3" t="s">
        <v>386</v>
      </c>
      <c r="AO3" s="59">
        <v>0</v>
      </c>
      <c r="AP3" t="s">
        <v>385</v>
      </c>
      <c r="AQ3" t="s">
        <v>386</v>
      </c>
      <c r="AR3" t="s">
        <v>374</v>
      </c>
      <c r="AS3" t="s">
        <v>379</v>
      </c>
      <c r="AT3" t="s">
        <v>374</v>
      </c>
    </row>
    <row r="4" spans="1:46" x14ac:dyDescent="0.25">
      <c r="A4">
        <v>70</v>
      </c>
      <c r="B4" t="s">
        <v>387</v>
      </c>
      <c r="C4">
        <v>101</v>
      </c>
      <c r="D4" t="s">
        <v>369</v>
      </c>
      <c r="E4">
        <v>100</v>
      </c>
      <c r="F4" t="s">
        <v>370</v>
      </c>
      <c r="G4">
        <v>0</v>
      </c>
      <c r="H4" t="s">
        <v>322</v>
      </c>
      <c r="I4" t="s">
        <v>322</v>
      </c>
      <c r="J4" t="s">
        <v>374</v>
      </c>
      <c r="K4" t="s">
        <v>374</v>
      </c>
      <c r="L4" t="s">
        <v>374</v>
      </c>
      <c r="M4" t="s">
        <v>374</v>
      </c>
      <c r="N4" t="s">
        <v>374</v>
      </c>
      <c r="O4" t="s">
        <v>374</v>
      </c>
      <c r="P4" t="s">
        <v>374</v>
      </c>
      <c r="Q4" t="s">
        <v>374</v>
      </c>
      <c r="R4" t="s">
        <v>374</v>
      </c>
      <c r="S4" t="s">
        <v>374</v>
      </c>
      <c r="T4" t="s">
        <v>374</v>
      </c>
      <c r="U4" t="s">
        <v>374</v>
      </c>
      <c r="V4" t="s">
        <v>374</v>
      </c>
      <c r="W4" t="s">
        <v>374</v>
      </c>
      <c r="X4" t="s">
        <v>374</v>
      </c>
      <c r="Y4" t="s">
        <v>374</v>
      </c>
      <c r="Z4" t="s">
        <v>374</v>
      </c>
      <c r="AA4" t="s">
        <v>374</v>
      </c>
      <c r="AB4" t="s">
        <v>374</v>
      </c>
      <c r="AC4" t="s">
        <v>374</v>
      </c>
      <c r="AD4" t="s">
        <v>374</v>
      </c>
      <c r="AE4" t="s">
        <v>374</v>
      </c>
      <c r="AF4">
        <v>1</v>
      </c>
      <c r="AG4" s="58">
        <v>43159.548254895832</v>
      </c>
      <c r="AH4" s="58">
        <v>43158.548254895832</v>
      </c>
      <c r="AI4" t="s">
        <v>375</v>
      </c>
      <c r="AJ4" t="s">
        <v>375</v>
      </c>
      <c r="AK4" s="21" t="s">
        <v>388</v>
      </c>
      <c r="AL4" s="59">
        <v>0</v>
      </c>
      <c r="AM4" s="60" t="s">
        <v>385</v>
      </c>
      <c r="AN4" t="s">
        <v>386</v>
      </c>
      <c r="AO4" s="59">
        <v>0</v>
      </c>
      <c r="AP4" t="s">
        <v>385</v>
      </c>
      <c r="AQ4" t="s">
        <v>386</v>
      </c>
      <c r="AR4" t="s">
        <v>374</v>
      </c>
      <c r="AS4" t="s">
        <v>379</v>
      </c>
      <c r="AT4" t="s">
        <v>374</v>
      </c>
    </row>
    <row r="5" spans="1:46" x14ac:dyDescent="0.25">
      <c r="A5">
        <v>71</v>
      </c>
      <c r="B5" t="s">
        <v>389</v>
      </c>
      <c r="C5">
        <v>101</v>
      </c>
      <c r="D5" t="s">
        <v>369</v>
      </c>
      <c r="E5">
        <v>100</v>
      </c>
      <c r="F5" t="s">
        <v>370</v>
      </c>
      <c r="G5">
        <v>0</v>
      </c>
      <c r="H5" t="s">
        <v>322</v>
      </c>
      <c r="I5" t="s">
        <v>322</v>
      </c>
      <c r="J5" t="s">
        <v>374</v>
      </c>
      <c r="K5" t="s">
        <v>374</v>
      </c>
      <c r="L5" t="s">
        <v>374</v>
      </c>
      <c r="M5" t="s">
        <v>374</v>
      </c>
      <c r="N5" t="s">
        <v>374</v>
      </c>
      <c r="O5" t="s">
        <v>374</v>
      </c>
      <c r="P5" t="s">
        <v>374</v>
      </c>
      <c r="Q5" t="s">
        <v>374</v>
      </c>
      <c r="R5" t="s">
        <v>374</v>
      </c>
      <c r="S5" t="s">
        <v>374</v>
      </c>
      <c r="T5" t="s">
        <v>374</v>
      </c>
      <c r="U5" t="s">
        <v>374</v>
      </c>
      <c r="V5" t="s">
        <v>374</v>
      </c>
      <c r="W5" t="s">
        <v>374</v>
      </c>
      <c r="X5" t="s">
        <v>374</v>
      </c>
      <c r="Y5" t="s">
        <v>374</v>
      </c>
      <c r="Z5" t="s">
        <v>374</v>
      </c>
      <c r="AA5" t="s">
        <v>374</v>
      </c>
      <c r="AB5" t="s">
        <v>374</v>
      </c>
      <c r="AC5" t="s">
        <v>374</v>
      </c>
      <c r="AD5" t="s">
        <v>374</v>
      </c>
      <c r="AE5" t="s">
        <v>374</v>
      </c>
      <c r="AF5">
        <v>1</v>
      </c>
      <c r="AG5" s="58">
        <v>43159.548254895832</v>
      </c>
      <c r="AH5" s="58">
        <v>43158.548254895832</v>
      </c>
      <c r="AI5" t="s">
        <v>375</v>
      </c>
      <c r="AJ5" t="s">
        <v>375</v>
      </c>
      <c r="AK5" s="21" t="s">
        <v>390</v>
      </c>
      <c r="AL5" s="59">
        <v>0</v>
      </c>
      <c r="AM5" s="60" t="s">
        <v>385</v>
      </c>
      <c r="AN5" t="s">
        <v>386</v>
      </c>
      <c r="AO5" s="59">
        <v>0</v>
      </c>
      <c r="AP5" t="s">
        <v>385</v>
      </c>
      <c r="AQ5" t="s">
        <v>386</v>
      </c>
      <c r="AR5" t="s">
        <v>374</v>
      </c>
      <c r="AS5" t="s">
        <v>379</v>
      </c>
      <c r="AT5" t="s">
        <v>374</v>
      </c>
    </row>
    <row r="6" spans="1:46" ht="30" x14ac:dyDescent="0.25">
      <c r="A6">
        <v>87</v>
      </c>
      <c r="B6" t="s">
        <v>391</v>
      </c>
      <c r="C6">
        <v>101</v>
      </c>
      <c r="D6" t="s">
        <v>369</v>
      </c>
      <c r="E6">
        <v>100</v>
      </c>
      <c r="F6" t="s">
        <v>370</v>
      </c>
      <c r="G6">
        <v>0</v>
      </c>
      <c r="H6" t="s">
        <v>322</v>
      </c>
      <c r="I6" t="s">
        <v>392</v>
      </c>
      <c r="J6" t="s">
        <v>374</v>
      </c>
      <c r="K6" t="s">
        <v>374</v>
      </c>
      <c r="L6" t="s">
        <v>374</v>
      </c>
      <c r="M6" t="s">
        <v>374</v>
      </c>
      <c r="N6" t="s">
        <v>374</v>
      </c>
      <c r="O6" t="s">
        <v>374</v>
      </c>
      <c r="P6" t="s">
        <v>374</v>
      </c>
      <c r="Q6" t="s">
        <v>374</v>
      </c>
      <c r="R6" t="s">
        <v>374</v>
      </c>
      <c r="S6" t="s">
        <v>374</v>
      </c>
      <c r="T6" t="s">
        <v>374</v>
      </c>
      <c r="U6" t="s">
        <v>374</v>
      </c>
      <c r="V6" t="s">
        <v>374</v>
      </c>
      <c r="W6" t="s">
        <v>374</v>
      </c>
      <c r="X6" t="s">
        <v>374</v>
      </c>
      <c r="Y6" t="s">
        <v>374</v>
      </c>
      <c r="Z6" t="s">
        <v>374</v>
      </c>
      <c r="AA6" t="s">
        <v>374</v>
      </c>
      <c r="AB6" t="s">
        <v>374</v>
      </c>
      <c r="AC6" t="s">
        <v>374</v>
      </c>
      <c r="AD6" t="s">
        <v>374</v>
      </c>
      <c r="AE6" t="s">
        <v>374</v>
      </c>
      <c r="AF6">
        <v>1</v>
      </c>
      <c r="AG6" s="58">
        <v>43159.548254895832</v>
      </c>
      <c r="AH6" s="58">
        <v>43158.548254895832</v>
      </c>
      <c r="AI6" t="s">
        <v>375</v>
      </c>
      <c r="AJ6" t="s">
        <v>375</v>
      </c>
      <c r="AK6" s="21" t="s">
        <v>393</v>
      </c>
      <c r="AL6" s="59">
        <v>0.625</v>
      </c>
      <c r="AM6" s="61" t="s">
        <v>377</v>
      </c>
      <c r="AN6" t="s">
        <v>378</v>
      </c>
      <c r="AO6" s="59">
        <v>0.625</v>
      </c>
      <c r="AP6" t="s">
        <v>377</v>
      </c>
      <c r="AQ6" t="s">
        <v>378</v>
      </c>
      <c r="AR6" t="s">
        <v>374</v>
      </c>
      <c r="AS6" t="s">
        <v>379</v>
      </c>
      <c r="AT6" t="s">
        <v>374</v>
      </c>
    </row>
    <row r="7" spans="1:46" ht="30" x14ac:dyDescent="0.25">
      <c r="A7">
        <v>89</v>
      </c>
      <c r="B7" t="s">
        <v>394</v>
      </c>
      <c r="C7">
        <v>101</v>
      </c>
      <c r="D7" t="s">
        <v>369</v>
      </c>
      <c r="E7">
        <v>100</v>
      </c>
      <c r="F7" t="s">
        <v>370</v>
      </c>
      <c r="G7">
        <v>0</v>
      </c>
      <c r="H7" t="s">
        <v>322</v>
      </c>
      <c r="I7" t="s">
        <v>392</v>
      </c>
      <c r="J7" t="s">
        <v>374</v>
      </c>
      <c r="K7" t="s">
        <v>374</v>
      </c>
      <c r="L7" t="s">
        <v>374</v>
      </c>
      <c r="M7" t="s">
        <v>374</v>
      </c>
      <c r="N7" t="s">
        <v>374</v>
      </c>
      <c r="O7" t="s">
        <v>374</v>
      </c>
      <c r="P7" t="s">
        <v>374</v>
      </c>
      <c r="Q7" t="s">
        <v>374</v>
      </c>
      <c r="R7" t="s">
        <v>374</v>
      </c>
      <c r="S7" t="s">
        <v>374</v>
      </c>
      <c r="T7" t="s">
        <v>374</v>
      </c>
      <c r="U7" t="s">
        <v>374</v>
      </c>
      <c r="V7" t="s">
        <v>374</v>
      </c>
      <c r="W7" t="s">
        <v>374</v>
      </c>
      <c r="X7" t="s">
        <v>374</v>
      </c>
      <c r="Y7" t="s">
        <v>374</v>
      </c>
      <c r="Z7" t="s">
        <v>374</v>
      </c>
      <c r="AA7" t="s">
        <v>374</v>
      </c>
      <c r="AB7" t="s">
        <v>374</v>
      </c>
      <c r="AC7" t="s">
        <v>374</v>
      </c>
      <c r="AD7" t="s">
        <v>374</v>
      </c>
      <c r="AE7" t="s">
        <v>374</v>
      </c>
      <c r="AF7">
        <v>1</v>
      </c>
      <c r="AG7" s="58">
        <v>43159.548254895832</v>
      </c>
      <c r="AH7" s="58">
        <v>43158.548254895832</v>
      </c>
      <c r="AI7" t="s">
        <v>375</v>
      </c>
      <c r="AJ7" t="s">
        <v>375</v>
      </c>
      <c r="AK7" s="21" t="s">
        <v>395</v>
      </c>
      <c r="AL7" s="59">
        <v>0.625</v>
      </c>
      <c r="AM7" s="61" t="s">
        <v>377</v>
      </c>
      <c r="AN7" t="s">
        <v>378</v>
      </c>
      <c r="AO7" s="59">
        <v>0.625</v>
      </c>
      <c r="AP7" t="s">
        <v>377</v>
      </c>
      <c r="AQ7" t="s">
        <v>378</v>
      </c>
      <c r="AR7" t="s">
        <v>374</v>
      </c>
      <c r="AS7" t="s">
        <v>379</v>
      </c>
      <c r="AT7" t="s">
        <v>374</v>
      </c>
    </row>
    <row r="8" spans="1:46" ht="30" x14ac:dyDescent="0.25">
      <c r="A8">
        <v>90</v>
      </c>
      <c r="B8" t="s">
        <v>396</v>
      </c>
      <c r="C8">
        <v>101</v>
      </c>
      <c r="D8" t="s">
        <v>369</v>
      </c>
      <c r="E8">
        <v>100</v>
      </c>
      <c r="F8" t="s">
        <v>370</v>
      </c>
      <c r="G8">
        <v>0</v>
      </c>
      <c r="H8" t="s">
        <v>322</v>
      </c>
      <c r="I8" t="s">
        <v>392</v>
      </c>
      <c r="J8" t="s">
        <v>374</v>
      </c>
      <c r="K8" t="s">
        <v>374</v>
      </c>
      <c r="L8" t="s">
        <v>374</v>
      </c>
      <c r="M8" t="s">
        <v>374</v>
      </c>
      <c r="N8" t="s">
        <v>374</v>
      </c>
      <c r="O8" t="s">
        <v>374</v>
      </c>
      <c r="P8" t="s">
        <v>374</v>
      </c>
      <c r="Q8" t="s">
        <v>374</v>
      </c>
      <c r="R8" t="s">
        <v>374</v>
      </c>
      <c r="S8" t="s">
        <v>374</v>
      </c>
      <c r="T8" t="s">
        <v>374</v>
      </c>
      <c r="U8" t="s">
        <v>374</v>
      </c>
      <c r="V8" t="s">
        <v>374</v>
      </c>
      <c r="W8" t="s">
        <v>374</v>
      </c>
      <c r="X8" t="s">
        <v>374</v>
      </c>
      <c r="Y8" t="s">
        <v>374</v>
      </c>
      <c r="Z8" t="s">
        <v>374</v>
      </c>
      <c r="AA8" t="s">
        <v>374</v>
      </c>
      <c r="AB8" t="s">
        <v>374</v>
      </c>
      <c r="AC8" t="s">
        <v>374</v>
      </c>
      <c r="AD8" t="s">
        <v>374</v>
      </c>
      <c r="AE8" t="s">
        <v>374</v>
      </c>
      <c r="AF8">
        <v>1</v>
      </c>
      <c r="AG8" s="58">
        <v>43159.548254895832</v>
      </c>
      <c r="AH8" s="58">
        <v>43158.548254895832</v>
      </c>
      <c r="AI8" t="s">
        <v>375</v>
      </c>
      <c r="AJ8" t="s">
        <v>375</v>
      </c>
      <c r="AK8" s="21" t="s">
        <v>397</v>
      </c>
      <c r="AL8" s="59">
        <v>0.625</v>
      </c>
      <c r="AM8" s="61" t="s">
        <v>377</v>
      </c>
      <c r="AN8" t="s">
        <v>378</v>
      </c>
      <c r="AO8" s="59">
        <v>0.625</v>
      </c>
      <c r="AP8" t="s">
        <v>377</v>
      </c>
      <c r="AQ8" t="s">
        <v>378</v>
      </c>
      <c r="AR8" t="s">
        <v>374</v>
      </c>
      <c r="AS8" t="s">
        <v>379</v>
      </c>
      <c r="AT8" t="s">
        <v>374</v>
      </c>
    </row>
    <row r="9" spans="1:46" x14ac:dyDescent="0.25">
      <c r="A9" s="8" t="s">
        <v>371</v>
      </c>
    </row>
    <row r="10" spans="1:46" x14ac:dyDescent="0.25">
      <c r="A10">
        <v>67</v>
      </c>
      <c r="B10" t="s">
        <v>368</v>
      </c>
      <c r="C10">
        <v>101</v>
      </c>
      <c r="D10" t="s">
        <v>369</v>
      </c>
      <c r="E10">
        <v>100</v>
      </c>
      <c r="F10" t="s">
        <v>370</v>
      </c>
      <c r="G10">
        <v>0</v>
      </c>
      <c r="H10" t="s">
        <v>371</v>
      </c>
      <c r="I10" t="s">
        <v>372</v>
      </c>
      <c r="J10" t="s">
        <v>373</v>
      </c>
      <c r="K10" t="s">
        <v>374</v>
      </c>
      <c r="L10" t="s">
        <v>374</v>
      </c>
      <c r="M10" t="s">
        <v>374</v>
      </c>
      <c r="N10" t="s">
        <v>374</v>
      </c>
      <c r="O10" t="s">
        <v>374</v>
      </c>
      <c r="P10" t="s">
        <v>374</v>
      </c>
      <c r="Q10" t="s">
        <v>374</v>
      </c>
      <c r="R10" t="s">
        <v>374</v>
      </c>
      <c r="S10" t="s">
        <v>374</v>
      </c>
      <c r="T10" t="s">
        <v>374</v>
      </c>
      <c r="U10" t="s">
        <v>374</v>
      </c>
      <c r="V10" t="s">
        <v>374</v>
      </c>
      <c r="W10" t="s">
        <v>374</v>
      </c>
      <c r="X10" t="s">
        <v>374</v>
      </c>
      <c r="Y10" t="s">
        <v>374</v>
      </c>
      <c r="Z10" t="s">
        <v>374</v>
      </c>
      <c r="AA10" t="s">
        <v>374</v>
      </c>
      <c r="AB10" t="s">
        <v>374</v>
      </c>
      <c r="AC10" t="s">
        <v>374</v>
      </c>
      <c r="AD10" t="s">
        <v>374</v>
      </c>
      <c r="AE10" t="s">
        <v>374</v>
      </c>
      <c r="AF10">
        <v>1</v>
      </c>
      <c r="AG10" s="58">
        <v>43159.548254895832</v>
      </c>
      <c r="AH10" s="58">
        <v>43158.548254895832</v>
      </c>
      <c r="AI10" t="s">
        <v>375</v>
      </c>
      <c r="AJ10" t="s">
        <v>375</v>
      </c>
      <c r="AK10" s="21" t="s">
        <v>376</v>
      </c>
      <c r="AL10" s="59">
        <v>0.79166666666666663</v>
      </c>
      <c r="AM10" s="62" t="s">
        <v>377</v>
      </c>
      <c r="AN10" t="s">
        <v>378</v>
      </c>
      <c r="AO10" s="59">
        <v>0.5</v>
      </c>
      <c r="AP10" t="s">
        <v>377</v>
      </c>
      <c r="AQ10" t="s">
        <v>378</v>
      </c>
      <c r="AR10" t="s">
        <v>374</v>
      </c>
      <c r="AS10" t="s">
        <v>379</v>
      </c>
      <c r="AT10" t="s">
        <v>374</v>
      </c>
    </row>
    <row r="11" spans="1:46" x14ac:dyDescent="0.25">
      <c r="A11">
        <v>69</v>
      </c>
      <c r="B11" t="s">
        <v>380</v>
      </c>
      <c r="C11">
        <v>101</v>
      </c>
      <c r="D11" t="s">
        <v>369</v>
      </c>
      <c r="E11">
        <v>100</v>
      </c>
      <c r="F11" t="s">
        <v>370</v>
      </c>
      <c r="G11">
        <v>0</v>
      </c>
      <c r="H11" t="s">
        <v>371</v>
      </c>
      <c r="I11" t="s">
        <v>372</v>
      </c>
      <c r="J11" t="s">
        <v>373</v>
      </c>
      <c r="K11" t="s">
        <v>374</v>
      </c>
      <c r="L11" t="s">
        <v>374</v>
      </c>
      <c r="M11" t="s">
        <v>374</v>
      </c>
      <c r="N11" t="s">
        <v>374</v>
      </c>
      <c r="O11" t="s">
        <v>374</v>
      </c>
      <c r="P11" t="s">
        <v>374</v>
      </c>
      <c r="Q11" t="s">
        <v>374</v>
      </c>
      <c r="R11" t="s">
        <v>374</v>
      </c>
      <c r="S11" t="s">
        <v>374</v>
      </c>
      <c r="T11" t="s">
        <v>374</v>
      </c>
      <c r="U11" t="s">
        <v>374</v>
      </c>
      <c r="V11" t="s">
        <v>374</v>
      </c>
      <c r="W11" t="s">
        <v>374</v>
      </c>
      <c r="X11" t="s">
        <v>374</v>
      </c>
      <c r="Y11" t="s">
        <v>374</v>
      </c>
      <c r="Z11" t="s">
        <v>374</v>
      </c>
      <c r="AA11" t="s">
        <v>374</v>
      </c>
      <c r="AB11" t="s">
        <v>374</v>
      </c>
      <c r="AC11" t="s">
        <v>374</v>
      </c>
      <c r="AD11" t="s">
        <v>374</v>
      </c>
      <c r="AE11" t="s">
        <v>374</v>
      </c>
      <c r="AF11">
        <v>1</v>
      </c>
      <c r="AG11" s="58">
        <v>43159.548254895832</v>
      </c>
      <c r="AH11" s="58">
        <v>43158.548254895832</v>
      </c>
      <c r="AI11" t="s">
        <v>375</v>
      </c>
      <c r="AJ11" t="s">
        <v>375</v>
      </c>
      <c r="AK11" s="21" t="s">
        <v>381</v>
      </c>
      <c r="AL11" s="59">
        <v>0.79166666666666663</v>
      </c>
      <c r="AM11" s="62" t="s">
        <v>377</v>
      </c>
      <c r="AN11" t="s">
        <v>378</v>
      </c>
      <c r="AO11" s="59">
        <v>0.5</v>
      </c>
      <c r="AP11" t="s">
        <v>377</v>
      </c>
      <c r="AQ11" t="s">
        <v>378</v>
      </c>
      <c r="AR11" t="s">
        <v>374</v>
      </c>
      <c r="AS11" t="s">
        <v>379</v>
      </c>
      <c r="AT11" t="s">
        <v>374</v>
      </c>
    </row>
    <row r="12" spans="1:46" x14ac:dyDescent="0.25">
      <c r="A12">
        <v>73</v>
      </c>
      <c r="B12" t="s">
        <v>382</v>
      </c>
      <c r="C12">
        <v>101</v>
      </c>
      <c r="D12" t="s">
        <v>369</v>
      </c>
      <c r="E12">
        <v>100</v>
      </c>
      <c r="F12" t="s">
        <v>370</v>
      </c>
      <c r="G12">
        <v>0</v>
      </c>
      <c r="H12" t="s">
        <v>371</v>
      </c>
      <c r="I12" t="s">
        <v>372</v>
      </c>
      <c r="J12" t="s">
        <v>373</v>
      </c>
      <c r="K12" t="s">
        <v>374</v>
      </c>
      <c r="L12" t="s">
        <v>374</v>
      </c>
      <c r="M12" t="s">
        <v>374</v>
      </c>
      <c r="N12" t="s">
        <v>374</v>
      </c>
      <c r="O12" t="s">
        <v>374</v>
      </c>
      <c r="P12" t="s">
        <v>374</v>
      </c>
      <c r="Q12" t="s">
        <v>374</v>
      </c>
      <c r="R12" t="s">
        <v>374</v>
      </c>
      <c r="S12" t="s">
        <v>374</v>
      </c>
      <c r="T12" t="s">
        <v>374</v>
      </c>
      <c r="U12" t="s">
        <v>374</v>
      </c>
      <c r="V12" t="s">
        <v>374</v>
      </c>
      <c r="W12" t="s">
        <v>374</v>
      </c>
      <c r="X12" t="s">
        <v>374</v>
      </c>
      <c r="Y12" t="s">
        <v>374</v>
      </c>
      <c r="Z12" t="s">
        <v>374</v>
      </c>
      <c r="AA12" t="s">
        <v>374</v>
      </c>
      <c r="AB12" t="s">
        <v>374</v>
      </c>
      <c r="AC12" t="s">
        <v>374</v>
      </c>
      <c r="AD12" t="s">
        <v>374</v>
      </c>
      <c r="AE12" t="s">
        <v>374</v>
      </c>
      <c r="AF12">
        <v>1</v>
      </c>
      <c r="AG12" s="58">
        <v>43159.548254895832</v>
      </c>
      <c r="AH12" s="58">
        <v>43158.548254895832</v>
      </c>
      <c r="AI12" t="s">
        <v>375</v>
      </c>
      <c r="AJ12" t="s">
        <v>375</v>
      </c>
      <c r="AK12" s="21" t="s">
        <v>383</v>
      </c>
      <c r="AL12" s="59">
        <v>0.79166666666666663</v>
      </c>
      <c r="AM12" s="62" t="s">
        <v>377</v>
      </c>
      <c r="AN12" t="s">
        <v>378</v>
      </c>
      <c r="AO12" s="59">
        <v>0.5</v>
      </c>
      <c r="AP12" t="s">
        <v>377</v>
      </c>
      <c r="AQ12" t="s">
        <v>378</v>
      </c>
      <c r="AR12" t="s">
        <v>374</v>
      </c>
      <c r="AS12" t="s">
        <v>379</v>
      </c>
      <c r="AT12" t="s">
        <v>374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D10" sqref="D10"/>
    </sheetView>
  </sheetViews>
  <sheetFormatPr defaultRowHeight="15" x14ac:dyDescent="0.25"/>
  <cols>
    <col min="1" max="1" width="6.5703125" customWidth="1"/>
    <col min="2" max="2" width="24.28515625" customWidth="1"/>
    <col min="3" max="3" width="48.5703125" bestFit="1" customWidth="1"/>
    <col min="4" max="4" width="43.28515625" customWidth="1"/>
  </cols>
  <sheetData>
    <row r="1" spans="1:4" x14ac:dyDescent="0.25">
      <c r="A1" s="8" t="s">
        <v>406</v>
      </c>
      <c r="B1" s="8" t="s">
        <v>414</v>
      </c>
      <c r="C1" s="8" t="s">
        <v>358</v>
      </c>
      <c r="D1" s="8" t="s">
        <v>413</v>
      </c>
    </row>
    <row r="2" spans="1:4" ht="45" x14ac:dyDescent="0.25">
      <c r="B2" t="s">
        <v>418</v>
      </c>
      <c r="C2" s="21" t="s">
        <v>407</v>
      </c>
    </row>
    <row r="3" spans="1:4" x14ac:dyDescent="0.25">
      <c r="B3" t="s">
        <v>408</v>
      </c>
      <c r="C3" t="s">
        <v>409</v>
      </c>
    </row>
    <row r="4" spans="1:4" ht="45" x14ac:dyDescent="0.25">
      <c r="B4" t="s">
        <v>410</v>
      </c>
      <c r="C4" s="21" t="s">
        <v>411</v>
      </c>
    </row>
    <row r="5" spans="1:4" ht="90" x14ac:dyDescent="0.25">
      <c r="B5" t="s">
        <v>412</v>
      </c>
      <c r="C5" s="21" t="s">
        <v>420</v>
      </c>
      <c r="D5" s="21" t="s">
        <v>415</v>
      </c>
    </row>
    <row r="6" spans="1:4" ht="30" x14ac:dyDescent="0.25">
      <c r="B6" t="s">
        <v>416</v>
      </c>
      <c r="C6" s="21" t="s">
        <v>417</v>
      </c>
    </row>
    <row r="7" spans="1:4" ht="30" x14ac:dyDescent="0.25">
      <c r="B7" t="s">
        <v>419</v>
      </c>
      <c r="C7" s="21" t="s">
        <v>421</v>
      </c>
    </row>
    <row r="8" spans="1:4" x14ac:dyDescent="0.25">
      <c r="B8" t="s">
        <v>425</v>
      </c>
      <c r="C8" s="21" t="s">
        <v>422</v>
      </c>
    </row>
    <row r="9" spans="1:4" x14ac:dyDescent="0.25">
      <c r="B9" t="s">
        <v>423</v>
      </c>
      <c r="C9" s="21" t="s">
        <v>424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F14" sqref="F14"/>
    </sheetView>
  </sheetViews>
  <sheetFormatPr defaultRowHeight="15" x14ac:dyDescent="0.25"/>
  <cols>
    <col min="2" max="2" width="20.28515625" customWidth="1"/>
    <col min="3" max="3" width="13.140625" bestFit="1" customWidth="1"/>
    <col min="6" max="6" width="30.7109375" customWidth="1"/>
  </cols>
  <sheetData>
    <row r="1" spans="1:6" x14ac:dyDescent="0.25">
      <c r="B1" s="8" t="s">
        <v>330</v>
      </c>
      <c r="E1" t="s">
        <v>437</v>
      </c>
    </row>
    <row r="2" spans="1:6" x14ac:dyDescent="0.25">
      <c r="A2">
        <v>1</v>
      </c>
      <c r="B2" t="s">
        <v>432</v>
      </c>
      <c r="C2" t="s">
        <v>435</v>
      </c>
      <c r="D2" t="s">
        <v>434</v>
      </c>
      <c r="E2">
        <v>16</v>
      </c>
      <c r="F2" t="s">
        <v>438</v>
      </c>
    </row>
    <row r="3" spans="1:6" x14ac:dyDescent="0.25">
      <c r="A3">
        <v>2</v>
      </c>
      <c r="B3" t="s">
        <v>432</v>
      </c>
      <c r="C3" t="s">
        <v>435</v>
      </c>
      <c r="D3" t="s">
        <v>436</v>
      </c>
    </row>
    <row r="4" spans="1:6" x14ac:dyDescent="0.25">
      <c r="C4" s="59"/>
    </row>
    <row r="6" spans="1:6" x14ac:dyDescent="0.25">
      <c r="A6">
        <v>1</v>
      </c>
      <c r="B6" t="s">
        <v>322</v>
      </c>
      <c r="C6" t="s">
        <v>433</v>
      </c>
      <c r="D6" t="s">
        <v>434</v>
      </c>
      <c r="E6">
        <v>5</v>
      </c>
      <c r="F6" t="s">
        <v>439</v>
      </c>
    </row>
    <row r="7" spans="1:6" x14ac:dyDescent="0.25">
      <c r="A7">
        <v>2</v>
      </c>
      <c r="B7" t="s">
        <v>322</v>
      </c>
      <c r="C7" t="s">
        <v>433</v>
      </c>
      <c r="D7" t="s">
        <v>436</v>
      </c>
    </row>
    <row r="9" spans="1:6" x14ac:dyDescent="0.25">
      <c r="A9">
        <v>1</v>
      </c>
      <c r="B9" t="s">
        <v>392</v>
      </c>
      <c r="C9" t="s">
        <v>435</v>
      </c>
      <c r="D9" t="s">
        <v>434</v>
      </c>
      <c r="E9">
        <v>4</v>
      </c>
      <c r="F9" t="s">
        <v>440</v>
      </c>
    </row>
    <row r="10" spans="1:6" x14ac:dyDescent="0.25">
      <c r="A10">
        <v>2</v>
      </c>
      <c r="B10" t="s">
        <v>392</v>
      </c>
      <c r="C10" t="s">
        <v>435</v>
      </c>
      <c r="D10" t="s">
        <v>436</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Tasks Details</vt:lpstr>
      <vt:lpstr>EST time formula</vt:lpstr>
      <vt:lpstr>update scripts</vt:lpstr>
      <vt:lpstr>SQL Queries</vt:lpstr>
      <vt:lpstr>AuthoMail-UAT Versions Updates</vt:lpstr>
      <vt:lpstr>Doc Type Table</vt:lpstr>
      <vt:lpstr>Dallas Test Case</vt: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milestone technocrat</cp:lastModifiedBy>
  <dcterms:created xsi:type="dcterms:W3CDTF">2018-03-22T13:29:15Z</dcterms:created>
  <dcterms:modified xsi:type="dcterms:W3CDTF">2018-12-28T06:36:22Z</dcterms:modified>
</cp:coreProperties>
</file>